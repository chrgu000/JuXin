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160" yWindow="40" windowWidth="14160" windowHeight="5850"/>
  </bookViews>
  <sheets>
    <sheet name="Data" sheetId="1" r:id="rId1"/>
    <sheet name="European" sheetId="2" r:id="rId2"/>
    <sheet name="American" sheetId="3" r:id="rId3"/>
  </sheets>
  <functionGroup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25725"/>
</workbook>
</file>

<file path=xl/calcChain.xml><?xml version="1.0" encoding="utf-8"?>
<calcChain xmlns="http://schemas.openxmlformats.org/spreadsheetml/2006/main">
  <c r="B26" i="3"/>
  <c r="D25"/>
  <c r="D19"/>
  <c r="J4" i="1"/>
  <c r="J6"/>
  <c r="J8"/>
  <c r="F5"/>
  <c r="B33" i="3"/>
  <c r="F3" i="1" l="1"/>
  <c r="B13" i="3" l="1"/>
  <c r="B5"/>
  <c r="F3" s="1"/>
  <c r="F4" s="1"/>
  <c r="F5" s="1"/>
  <c r="D12" l="1"/>
  <c r="F11" l="1"/>
  <c r="F24" s="1"/>
  <c r="F18"/>
  <c r="D14"/>
  <c r="F13" l="1"/>
  <c r="F26" s="1"/>
  <c r="F15"/>
  <c r="F20" l="1"/>
  <c r="F28"/>
  <c r="F22"/>
  <c r="D21" s="1"/>
  <c r="B20" s="1"/>
  <c r="D27" l="1"/>
  <c r="B13" i="2"/>
  <c r="B5"/>
  <c r="D19" i="1"/>
  <c r="D17"/>
  <c r="F3" i="2" l="1"/>
  <c r="D12" s="1"/>
  <c r="F4"/>
  <c r="F5" s="1"/>
  <c r="J9" i="1"/>
  <c r="K7"/>
  <c r="J7"/>
  <c r="K4"/>
  <c r="K3"/>
  <c r="J5"/>
  <c r="J3"/>
  <c r="B5"/>
  <c r="F11" i="2" l="1"/>
  <c r="F18" s="1"/>
  <c r="H3" s="1"/>
  <c r="F24"/>
  <c r="D14"/>
  <c r="F15" s="1"/>
  <c r="H3" i="1"/>
  <c r="F4"/>
  <c r="F22" i="2" l="1"/>
  <c r="F28"/>
  <c r="F13"/>
  <c r="H4" i="1"/>
  <c r="F20" i="2" l="1"/>
  <c r="F26"/>
  <c r="D27" l="1"/>
  <c r="D25"/>
  <c r="D21"/>
  <c r="D19"/>
  <c r="B20" l="1"/>
  <c r="B26"/>
</calcChain>
</file>

<file path=xl/sharedStrings.xml><?xml version="1.0" encoding="utf-8"?>
<sst xmlns="http://schemas.openxmlformats.org/spreadsheetml/2006/main" count="49" uniqueCount="25">
  <si>
    <t>Volatility</t>
  </si>
  <si>
    <t>Initial price</t>
  </si>
  <si>
    <t>Strike price</t>
  </si>
  <si>
    <t>Time to expiration</t>
  </si>
  <si>
    <t>Interest rate</t>
  </si>
  <si>
    <t>Dividend yield</t>
  </si>
  <si>
    <t>Data for binomial tree pricing models</t>
  </si>
  <si>
    <t>u</t>
  </si>
  <si>
    <t>d</t>
  </si>
  <si>
    <t>p</t>
  </si>
  <si>
    <t>Stock price</t>
  </si>
  <si>
    <t>Call payoffs</t>
  </si>
  <si>
    <t>C=?</t>
  </si>
  <si>
    <t>Portfolio value</t>
  </si>
  <si>
    <r>
      <t>50*</t>
    </r>
    <r>
      <rPr>
        <sz val="11"/>
        <color theme="1"/>
        <rFont val="Calibri"/>
        <family val="2"/>
      </rPr>
      <t>Δ-C</t>
    </r>
  </si>
  <si>
    <r>
      <t>60*</t>
    </r>
    <r>
      <rPr>
        <sz val="11"/>
        <color theme="1"/>
        <rFont val="Calibri"/>
        <family val="2"/>
      </rPr>
      <t>Δ - 8</t>
    </r>
  </si>
  <si>
    <r>
      <t>42*</t>
    </r>
    <r>
      <rPr>
        <sz val="11"/>
        <color theme="1"/>
        <rFont val="Calibri"/>
        <family val="2"/>
      </rPr>
      <t>Δ</t>
    </r>
  </si>
  <si>
    <t>Two-period binomial trees for European options</t>
  </si>
  <si>
    <t>Two-period binomial trees for American options</t>
  </si>
  <si>
    <t>Call value</t>
  </si>
  <si>
    <t>Put value</t>
  </si>
  <si>
    <r>
      <rPr>
        <i/>
        <sz val="11"/>
        <color theme="1"/>
        <rFont val="Calibri"/>
        <family val="2"/>
        <scheme val="minor"/>
      </rPr>
      <t>t</t>
    </r>
    <r>
      <rPr>
        <sz val="11"/>
        <color theme="1"/>
        <rFont val="Calibri"/>
        <family val="2"/>
        <scheme val="minor"/>
      </rPr>
      <t>=0</t>
    </r>
  </si>
  <si>
    <r>
      <rPr>
        <i/>
        <sz val="11"/>
        <color theme="1"/>
        <rFont val="Calibri"/>
        <family val="2"/>
        <scheme val="minor"/>
      </rPr>
      <t>t</t>
    </r>
    <r>
      <rPr>
        <sz val="11"/>
        <color theme="1"/>
        <rFont val="Calibri"/>
        <family val="2"/>
        <scheme val="minor"/>
      </rPr>
      <t>=1</t>
    </r>
  </si>
  <si>
    <r>
      <rPr>
        <i/>
        <sz val="11"/>
        <color theme="1"/>
        <rFont val="Calibri"/>
        <family val="2"/>
        <scheme val="minor"/>
      </rPr>
      <t>t</t>
    </r>
    <r>
      <rPr>
        <sz val="11"/>
        <color theme="1"/>
        <rFont val="Calibri"/>
        <family val="2"/>
        <scheme val="minor"/>
      </rPr>
      <t>=2</t>
    </r>
  </si>
  <si>
    <t>Put value computed with VBA code AmericanPutBin</t>
  </si>
</sst>
</file>

<file path=xl/styles.xml><?xml version="1.0" encoding="utf-8"?>
<styleSheet xmlns="http://schemas.openxmlformats.org/spreadsheetml/2006/main">
  <numFmts count="2">
    <numFmt numFmtId="44" formatCode="_(&quot;$&quot;* #,##0.00_);_(&quot;$&quot;* \(#,##0.00\);_(&quot;$&quot;* &quot;-&quot;??_);_(@_)"/>
    <numFmt numFmtId="164" formatCode="0.0000"/>
  </numFmts>
  <fonts count="5">
    <font>
      <sz val="11"/>
      <color theme="1"/>
      <name val="Calibri"/>
      <family val="2"/>
      <scheme val="minor"/>
    </font>
    <font>
      <sz val="11"/>
      <color theme="1"/>
      <name val="Calibri"/>
      <family val="2"/>
      <scheme val="minor"/>
    </font>
    <font>
      <sz val="11"/>
      <color rgb="FFFF0000"/>
      <name val="Calibri"/>
      <family val="2"/>
      <scheme val="minor"/>
    </font>
    <font>
      <sz val="11"/>
      <color theme="1"/>
      <name val="Calibri"/>
      <family val="2"/>
    </font>
    <font>
      <i/>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2">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xf numFmtId="2" fontId="0" fillId="0" borderId="0" xfId="0" applyNumberFormat="1"/>
    <xf numFmtId="164" fontId="0" fillId="0" borderId="0" xfId="0" applyNumberFormat="1"/>
    <xf numFmtId="10" fontId="0" fillId="0" borderId="0" xfId="2" applyNumberFormat="1" applyFont="1"/>
    <xf numFmtId="44" fontId="0" fillId="0" borderId="1" xfId="1" applyFont="1" applyBorder="1"/>
    <xf numFmtId="0" fontId="0" fillId="0" borderId="0" xfId="1" applyNumberFormat="1" applyFont="1" applyAlignment="1">
      <alignment horizontal="center"/>
    </xf>
    <xf numFmtId="0" fontId="0" fillId="0" borderId="1" xfId="1" applyNumberFormat="1" applyFont="1" applyBorder="1" applyAlignment="1">
      <alignment horizontal="center"/>
    </xf>
    <xf numFmtId="44" fontId="0" fillId="0" borderId="0" xfId="1" applyFont="1" applyBorder="1"/>
  </cellXfs>
  <cellStyles count="3">
    <cellStyle name="Currency" xfId="1" builtinId="4"/>
    <cellStyle name="Normal" xfId="0" builtinId="0"/>
    <cellStyle name="Percent" xfId="2"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590550</xdr:colOff>
      <xdr:row>11</xdr:row>
      <xdr:rowOff>107950</xdr:rowOff>
    </xdr:from>
    <xdr:to>
      <xdr:col>2</xdr:col>
      <xdr:colOff>590550</xdr:colOff>
      <xdr:row>12</xdr:row>
      <xdr:rowOff>88900</xdr:rowOff>
    </xdr:to>
    <xdr:sp macro="" textlink="">
      <xdr:nvSpPr>
        <xdr:cNvPr id="2"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1</xdr:col>
      <xdr:colOff>590550</xdr:colOff>
      <xdr:row>12</xdr:row>
      <xdr:rowOff>107950</xdr:rowOff>
    </xdr:from>
    <xdr:to>
      <xdr:col>2</xdr:col>
      <xdr:colOff>603250</xdr:colOff>
      <xdr:row>13</xdr:row>
      <xdr:rowOff>69850</xdr:rowOff>
    </xdr:to>
    <xdr:sp macro="" textlink="">
      <xdr:nvSpPr>
        <xdr:cNvPr id="3" name="Line 2"/>
        <xdr:cNvSpPr>
          <a:spLocks noChangeShapeType="1"/>
        </xdr:cNvSpPr>
      </xdr:nvSpPr>
      <xdr:spPr bwMode="auto">
        <a:xfrm>
          <a:off x="1695450" y="2317750"/>
          <a:ext cx="622300" cy="146050"/>
        </a:xfrm>
        <a:prstGeom prst="line">
          <a:avLst/>
        </a:prstGeom>
        <a:noFill/>
        <a:ln w="9525">
          <a:solidFill>
            <a:srgbClr val="000000"/>
          </a:solidFill>
          <a:round/>
          <a:headEnd/>
          <a:tailEnd/>
        </a:ln>
      </xdr:spPr>
    </xdr:sp>
    <xdr:clientData/>
  </xdr:twoCellAnchor>
  <xdr:twoCellAnchor>
    <xdr:from>
      <xdr:col>1</xdr:col>
      <xdr:colOff>590550</xdr:colOff>
      <xdr:row>16</xdr:row>
      <xdr:rowOff>107950</xdr:rowOff>
    </xdr:from>
    <xdr:to>
      <xdr:col>2</xdr:col>
      <xdr:colOff>590550</xdr:colOff>
      <xdr:row>17</xdr:row>
      <xdr:rowOff>88900</xdr:rowOff>
    </xdr:to>
    <xdr:sp macro="" textlink="">
      <xdr:nvSpPr>
        <xdr:cNvPr id="4"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1</xdr:col>
      <xdr:colOff>590550</xdr:colOff>
      <xdr:row>17</xdr:row>
      <xdr:rowOff>107950</xdr:rowOff>
    </xdr:from>
    <xdr:to>
      <xdr:col>2</xdr:col>
      <xdr:colOff>603250</xdr:colOff>
      <xdr:row>18</xdr:row>
      <xdr:rowOff>69850</xdr:rowOff>
    </xdr:to>
    <xdr:sp macro="" textlink="">
      <xdr:nvSpPr>
        <xdr:cNvPr id="5" name="Line 2"/>
        <xdr:cNvSpPr>
          <a:spLocks noChangeShapeType="1"/>
        </xdr:cNvSpPr>
      </xdr:nvSpPr>
      <xdr:spPr bwMode="auto">
        <a:xfrm>
          <a:off x="1695450" y="2317750"/>
          <a:ext cx="622300" cy="146050"/>
        </a:xfrm>
        <a:prstGeom prst="line">
          <a:avLst/>
        </a:prstGeom>
        <a:noFill/>
        <a:ln w="9525">
          <a:solidFill>
            <a:srgbClr val="000000"/>
          </a:solidFill>
          <a:round/>
          <a:headEnd/>
          <a:tailEnd/>
        </a:ln>
      </xdr:spPr>
    </xdr:sp>
    <xdr:clientData/>
  </xdr:twoCellAnchor>
  <xdr:twoCellAnchor>
    <xdr:from>
      <xdr:col>1</xdr:col>
      <xdr:colOff>590550</xdr:colOff>
      <xdr:row>20</xdr:row>
      <xdr:rowOff>107950</xdr:rowOff>
    </xdr:from>
    <xdr:to>
      <xdr:col>2</xdr:col>
      <xdr:colOff>590550</xdr:colOff>
      <xdr:row>21</xdr:row>
      <xdr:rowOff>88900</xdr:rowOff>
    </xdr:to>
    <xdr:sp macro="" textlink="">
      <xdr:nvSpPr>
        <xdr:cNvPr id="6"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1</xdr:col>
      <xdr:colOff>590550</xdr:colOff>
      <xdr:row>21</xdr:row>
      <xdr:rowOff>107950</xdr:rowOff>
    </xdr:from>
    <xdr:to>
      <xdr:col>2</xdr:col>
      <xdr:colOff>603250</xdr:colOff>
      <xdr:row>22</xdr:row>
      <xdr:rowOff>69850</xdr:rowOff>
    </xdr:to>
    <xdr:sp macro="" textlink="">
      <xdr:nvSpPr>
        <xdr:cNvPr id="7" name="Line 2"/>
        <xdr:cNvSpPr>
          <a:spLocks noChangeShapeType="1"/>
        </xdr:cNvSpPr>
      </xdr:nvSpPr>
      <xdr:spPr bwMode="auto">
        <a:xfrm>
          <a:off x="1695450" y="2317750"/>
          <a:ext cx="622300" cy="146050"/>
        </a:xfrm>
        <a:prstGeom prst="lin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590550</xdr:colOff>
      <xdr:row>11</xdr:row>
      <xdr:rowOff>107950</xdr:rowOff>
    </xdr:from>
    <xdr:to>
      <xdr:col>2</xdr:col>
      <xdr:colOff>590550</xdr:colOff>
      <xdr:row>12</xdr:row>
      <xdr:rowOff>88900</xdr:rowOff>
    </xdr:to>
    <xdr:sp macro="" textlink="">
      <xdr:nvSpPr>
        <xdr:cNvPr id="2"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1</xdr:col>
      <xdr:colOff>590550</xdr:colOff>
      <xdr:row>12</xdr:row>
      <xdr:rowOff>107950</xdr:rowOff>
    </xdr:from>
    <xdr:to>
      <xdr:col>2</xdr:col>
      <xdr:colOff>603250</xdr:colOff>
      <xdr:row>13</xdr:row>
      <xdr:rowOff>69850</xdr:rowOff>
    </xdr:to>
    <xdr:sp macro="" textlink="">
      <xdr:nvSpPr>
        <xdr:cNvPr id="3" name="Line 2"/>
        <xdr:cNvSpPr>
          <a:spLocks noChangeShapeType="1"/>
        </xdr:cNvSpPr>
      </xdr:nvSpPr>
      <xdr:spPr bwMode="auto">
        <a:xfrm>
          <a:off x="1695450" y="23177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4" name="Line 1"/>
        <xdr:cNvSpPr>
          <a:spLocks noChangeShapeType="1"/>
        </xdr:cNvSpPr>
      </xdr:nvSpPr>
      <xdr:spPr bwMode="auto">
        <a:xfrm flipV="1">
          <a:off x="1695450" y="305435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5" name="Line 2"/>
        <xdr:cNvSpPr>
          <a:spLocks noChangeShapeType="1"/>
        </xdr:cNvSpPr>
      </xdr:nvSpPr>
      <xdr:spPr bwMode="auto">
        <a:xfrm>
          <a:off x="1695450" y="3238500"/>
          <a:ext cx="622300" cy="146050"/>
        </a:xfrm>
        <a:prstGeom prst="line">
          <a:avLst/>
        </a:prstGeom>
        <a:noFill/>
        <a:ln w="9525">
          <a:solidFill>
            <a:srgbClr val="000000"/>
          </a:solidFill>
          <a:round/>
          <a:headEnd/>
          <a:tailEnd/>
        </a:ln>
      </xdr:spPr>
    </xdr:sp>
    <xdr:clientData/>
  </xdr:twoCellAnchor>
  <xdr:twoCellAnchor>
    <xdr:from>
      <xdr:col>3</xdr:col>
      <xdr:colOff>590550</xdr:colOff>
      <xdr:row>10</xdr:row>
      <xdr:rowOff>107950</xdr:rowOff>
    </xdr:from>
    <xdr:to>
      <xdr:col>4</xdr:col>
      <xdr:colOff>590550</xdr:colOff>
      <xdr:row>11</xdr:row>
      <xdr:rowOff>88900</xdr:rowOff>
    </xdr:to>
    <xdr:sp macro="" textlink="">
      <xdr:nvSpPr>
        <xdr:cNvPr id="10" name="Line 1"/>
        <xdr:cNvSpPr>
          <a:spLocks noChangeShapeType="1"/>
        </xdr:cNvSpPr>
      </xdr:nvSpPr>
      <xdr:spPr bwMode="auto">
        <a:xfrm flipV="1">
          <a:off x="2914650" y="1949450"/>
          <a:ext cx="609600" cy="165100"/>
        </a:xfrm>
        <a:prstGeom prst="line">
          <a:avLst/>
        </a:prstGeom>
        <a:noFill/>
        <a:ln w="9525">
          <a:solidFill>
            <a:srgbClr val="000000"/>
          </a:solidFill>
          <a:round/>
          <a:headEnd/>
          <a:tailEnd/>
        </a:ln>
      </xdr:spPr>
    </xdr:sp>
    <xdr:clientData/>
  </xdr:twoCellAnchor>
  <xdr:twoCellAnchor>
    <xdr:from>
      <xdr:col>3</xdr:col>
      <xdr:colOff>590550</xdr:colOff>
      <xdr:row>11</xdr:row>
      <xdr:rowOff>107950</xdr:rowOff>
    </xdr:from>
    <xdr:to>
      <xdr:col>4</xdr:col>
      <xdr:colOff>603250</xdr:colOff>
      <xdr:row>12</xdr:row>
      <xdr:rowOff>69850</xdr:rowOff>
    </xdr:to>
    <xdr:sp macro="" textlink="">
      <xdr:nvSpPr>
        <xdr:cNvPr id="11" name="Line 2"/>
        <xdr:cNvSpPr>
          <a:spLocks noChangeShapeType="1"/>
        </xdr:cNvSpPr>
      </xdr:nvSpPr>
      <xdr:spPr bwMode="auto">
        <a:xfrm>
          <a:off x="2914650" y="2133600"/>
          <a:ext cx="622300" cy="146050"/>
        </a:xfrm>
        <a:prstGeom prst="line">
          <a:avLst/>
        </a:prstGeom>
        <a:noFill/>
        <a:ln w="9525">
          <a:solidFill>
            <a:srgbClr val="000000"/>
          </a:solidFill>
          <a:round/>
          <a:headEnd/>
          <a:tailEnd/>
        </a:ln>
      </xdr:spPr>
    </xdr:sp>
    <xdr:clientData/>
  </xdr:twoCellAnchor>
  <xdr:twoCellAnchor>
    <xdr:from>
      <xdr:col>3</xdr:col>
      <xdr:colOff>590550</xdr:colOff>
      <xdr:row>12</xdr:row>
      <xdr:rowOff>107950</xdr:rowOff>
    </xdr:from>
    <xdr:to>
      <xdr:col>4</xdr:col>
      <xdr:colOff>590550</xdr:colOff>
      <xdr:row>13</xdr:row>
      <xdr:rowOff>88900</xdr:rowOff>
    </xdr:to>
    <xdr:sp macro="" textlink="">
      <xdr:nvSpPr>
        <xdr:cNvPr id="16"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3</xdr:col>
      <xdr:colOff>590550</xdr:colOff>
      <xdr:row>13</xdr:row>
      <xdr:rowOff>107950</xdr:rowOff>
    </xdr:from>
    <xdr:to>
      <xdr:col>4</xdr:col>
      <xdr:colOff>603250</xdr:colOff>
      <xdr:row>14</xdr:row>
      <xdr:rowOff>69850</xdr:rowOff>
    </xdr:to>
    <xdr:sp macro="" textlink="">
      <xdr:nvSpPr>
        <xdr:cNvPr id="17" name="Line 2"/>
        <xdr:cNvSpPr>
          <a:spLocks noChangeShapeType="1"/>
        </xdr:cNvSpPr>
      </xdr:nvSpPr>
      <xdr:spPr bwMode="auto">
        <a:xfrm>
          <a:off x="2914650" y="2501900"/>
          <a:ext cx="622300" cy="146050"/>
        </a:xfrm>
        <a:prstGeom prst="line">
          <a:avLst/>
        </a:prstGeom>
        <a:noFill/>
        <a:ln w="9525">
          <a:solidFill>
            <a:srgbClr val="000000"/>
          </a:solidFill>
          <a:round/>
          <a:headEnd/>
          <a:tailEnd/>
        </a:ln>
      </xdr:spPr>
    </xdr:sp>
    <xdr:clientData/>
  </xdr:twoCellAnchor>
  <xdr:twoCellAnchor>
    <xdr:from>
      <xdr:col>3</xdr:col>
      <xdr:colOff>590550</xdr:colOff>
      <xdr:row>17</xdr:row>
      <xdr:rowOff>107950</xdr:rowOff>
    </xdr:from>
    <xdr:to>
      <xdr:col>4</xdr:col>
      <xdr:colOff>590550</xdr:colOff>
      <xdr:row>18</xdr:row>
      <xdr:rowOff>88900</xdr:rowOff>
    </xdr:to>
    <xdr:sp macro="" textlink="">
      <xdr:nvSpPr>
        <xdr:cNvPr id="28" name="Line 1"/>
        <xdr:cNvSpPr>
          <a:spLocks noChangeShapeType="1"/>
        </xdr:cNvSpPr>
      </xdr:nvSpPr>
      <xdr:spPr bwMode="auto">
        <a:xfrm flipV="1">
          <a:off x="2914650" y="1949450"/>
          <a:ext cx="609600" cy="165100"/>
        </a:xfrm>
        <a:prstGeom prst="line">
          <a:avLst/>
        </a:prstGeom>
        <a:noFill/>
        <a:ln w="9525">
          <a:solidFill>
            <a:srgbClr val="000000"/>
          </a:solidFill>
          <a:round/>
          <a:headEnd/>
          <a:tailEnd/>
        </a:ln>
      </xdr:spPr>
    </xdr:sp>
    <xdr:clientData/>
  </xdr:twoCellAnchor>
  <xdr:twoCellAnchor>
    <xdr:from>
      <xdr:col>3</xdr:col>
      <xdr:colOff>590550</xdr:colOff>
      <xdr:row>18</xdr:row>
      <xdr:rowOff>107950</xdr:rowOff>
    </xdr:from>
    <xdr:to>
      <xdr:col>4</xdr:col>
      <xdr:colOff>603250</xdr:colOff>
      <xdr:row>19</xdr:row>
      <xdr:rowOff>69850</xdr:rowOff>
    </xdr:to>
    <xdr:sp macro="" textlink="">
      <xdr:nvSpPr>
        <xdr:cNvPr id="29" name="Line 2"/>
        <xdr:cNvSpPr>
          <a:spLocks noChangeShapeType="1"/>
        </xdr:cNvSpPr>
      </xdr:nvSpPr>
      <xdr:spPr bwMode="auto">
        <a:xfrm>
          <a:off x="2914650" y="213360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30" name="Line 1"/>
        <xdr:cNvSpPr>
          <a:spLocks noChangeShapeType="1"/>
        </xdr:cNvSpPr>
      </xdr:nvSpPr>
      <xdr:spPr bwMode="auto">
        <a:xfrm flipV="1">
          <a:off x="2914650" y="2317750"/>
          <a:ext cx="609600" cy="16510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31" name="Line 1"/>
        <xdr:cNvSpPr>
          <a:spLocks noChangeShapeType="1"/>
        </xdr:cNvSpPr>
      </xdr:nvSpPr>
      <xdr:spPr bwMode="auto">
        <a:xfrm flipV="1">
          <a:off x="2914650" y="231775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32" name="Line 2"/>
        <xdr:cNvSpPr>
          <a:spLocks noChangeShapeType="1"/>
        </xdr:cNvSpPr>
      </xdr:nvSpPr>
      <xdr:spPr bwMode="auto">
        <a:xfrm>
          <a:off x="2914650" y="250190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33"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34"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35"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36"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37"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38"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39"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40"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41"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42"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twoCellAnchor>
    <xdr:from>
      <xdr:col>3</xdr:col>
      <xdr:colOff>590550</xdr:colOff>
      <xdr:row>23</xdr:row>
      <xdr:rowOff>107950</xdr:rowOff>
    </xdr:from>
    <xdr:to>
      <xdr:col>4</xdr:col>
      <xdr:colOff>590550</xdr:colOff>
      <xdr:row>24</xdr:row>
      <xdr:rowOff>88900</xdr:rowOff>
    </xdr:to>
    <xdr:sp macro="" textlink="">
      <xdr:nvSpPr>
        <xdr:cNvPr id="43"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3</xdr:col>
      <xdr:colOff>590550</xdr:colOff>
      <xdr:row>24</xdr:row>
      <xdr:rowOff>107950</xdr:rowOff>
    </xdr:from>
    <xdr:to>
      <xdr:col>4</xdr:col>
      <xdr:colOff>603250</xdr:colOff>
      <xdr:row>25</xdr:row>
      <xdr:rowOff>69850</xdr:rowOff>
    </xdr:to>
    <xdr:sp macro="" textlink="">
      <xdr:nvSpPr>
        <xdr:cNvPr id="44"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45"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46"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47"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48"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49"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50"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51"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52"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53"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54"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55"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590550</xdr:colOff>
      <xdr:row>11</xdr:row>
      <xdr:rowOff>107950</xdr:rowOff>
    </xdr:from>
    <xdr:to>
      <xdr:col>2</xdr:col>
      <xdr:colOff>590550</xdr:colOff>
      <xdr:row>12</xdr:row>
      <xdr:rowOff>88900</xdr:rowOff>
    </xdr:to>
    <xdr:sp macro="" textlink="">
      <xdr:nvSpPr>
        <xdr:cNvPr id="2" name="Line 1"/>
        <xdr:cNvSpPr>
          <a:spLocks noChangeShapeType="1"/>
        </xdr:cNvSpPr>
      </xdr:nvSpPr>
      <xdr:spPr bwMode="auto">
        <a:xfrm flipV="1">
          <a:off x="1695450" y="2133600"/>
          <a:ext cx="609600" cy="165100"/>
        </a:xfrm>
        <a:prstGeom prst="line">
          <a:avLst/>
        </a:prstGeom>
        <a:noFill/>
        <a:ln w="9525">
          <a:solidFill>
            <a:srgbClr val="000000"/>
          </a:solidFill>
          <a:round/>
          <a:headEnd/>
          <a:tailEnd/>
        </a:ln>
      </xdr:spPr>
    </xdr:sp>
    <xdr:clientData/>
  </xdr:twoCellAnchor>
  <xdr:twoCellAnchor>
    <xdr:from>
      <xdr:col>1</xdr:col>
      <xdr:colOff>590550</xdr:colOff>
      <xdr:row>12</xdr:row>
      <xdr:rowOff>107950</xdr:rowOff>
    </xdr:from>
    <xdr:to>
      <xdr:col>2</xdr:col>
      <xdr:colOff>603250</xdr:colOff>
      <xdr:row>13</xdr:row>
      <xdr:rowOff>69850</xdr:rowOff>
    </xdr:to>
    <xdr:sp macro="" textlink="">
      <xdr:nvSpPr>
        <xdr:cNvPr id="3" name="Line 2"/>
        <xdr:cNvSpPr>
          <a:spLocks noChangeShapeType="1"/>
        </xdr:cNvSpPr>
      </xdr:nvSpPr>
      <xdr:spPr bwMode="auto">
        <a:xfrm>
          <a:off x="1695450" y="23177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4"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5"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twoCellAnchor>
    <xdr:from>
      <xdr:col>3</xdr:col>
      <xdr:colOff>590550</xdr:colOff>
      <xdr:row>10</xdr:row>
      <xdr:rowOff>107950</xdr:rowOff>
    </xdr:from>
    <xdr:to>
      <xdr:col>4</xdr:col>
      <xdr:colOff>590550</xdr:colOff>
      <xdr:row>11</xdr:row>
      <xdr:rowOff>88900</xdr:rowOff>
    </xdr:to>
    <xdr:sp macro="" textlink="">
      <xdr:nvSpPr>
        <xdr:cNvPr id="6" name="Line 1"/>
        <xdr:cNvSpPr>
          <a:spLocks noChangeShapeType="1"/>
        </xdr:cNvSpPr>
      </xdr:nvSpPr>
      <xdr:spPr bwMode="auto">
        <a:xfrm flipV="1">
          <a:off x="2914650" y="1949450"/>
          <a:ext cx="609600" cy="165100"/>
        </a:xfrm>
        <a:prstGeom prst="line">
          <a:avLst/>
        </a:prstGeom>
        <a:noFill/>
        <a:ln w="9525">
          <a:solidFill>
            <a:srgbClr val="000000"/>
          </a:solidFill>
          <a:round/>
          <a:headEnd/>
          <a:tailEnd/>
        </a:ln>
      </xdr:spPr>
    </xdr:sp>
    <xdr:clientData/>
  </xdr:twoCellAnchor>
  <xdr:twoCellAnchor>
    <xdr:from>
      <xdr:col>3</xdr:col>
      <xdr:colOff>590550</xdr:colOff>
      <xdr:row>11</xdr:row>
      <xdr:rowOff>107950</xdr:rowOff>
    </xdr:from>
    <xdr:to>
      <xdr:col>4</xdr:col>
      <xdr:colOff>603250</xdr:colOff>
      <xdr:row>12</xdr:row>
      <xdr:rowOff>69850</xdr:rowOff>
    </xdr:to>
    <xdr:sp macro="" textlink="">
      <xdr:nvSpPr>
        <xdr:cNvPr id="7" name="Line 2"/>
        <xdr:cNvSpPr>
          <a:spLocks noChangeShapeType="1"/>
        </xdr:cNvSpPr>
      </xdr:nvSpPr>
      <xdr:spPr bwMode="auto">
        <a:xfrm>
          <a:off x="2914650" y="2133600"/>
          <a:ext cx="622300" cy="146050"/>
        </a:xfrm>
        <a:prstGeom prst="line">
          <a:avLst/>
        </a:prstGeom>
        <a:noFill/>
        <a:ln w="9525">
          <a:solidFill>
            <a:srgbClr val="000000"/>
          </a:solidFill>
          <a:round/>
          <a:headEnd/>
          <a:tailEnd/>
        </a:ln>
      </xdr:spPr>
    </xdr:sp>
    <xdr:clientData/>
  </xdr:twoCellAnchor>
  <xdr:twoCellAnchor>
    <xdr:from>
      <xdr:col>3</xdr:col>
      <xdr:colOff>590550</xdr:colOff>
      <xdr:row>12</xdr:row>
      <xdr:rowOff>107950</xdr:rowOff>
    </xdr:from>
    <xdr:to>
      <xdr:col>4</xdr:col>
      <xdr:colOff>590550</xdr:colOff>
      <xdr:row>13</xdr:row>
      <xdr:rowOff>88900</xdr:rowOff>
    </xdr:to>
    <xdr:sp macro="" textlink="">
      <xdr:nvSpPr>
        <xdr:cNvPr id="8" name="Line 1"/>
        <xdr:cNvSpPr>
          <a:spLocks noChangeShapeType="1"/>
        </xdr:cNvSpPr>
      </xdr:nvSpPr>
      <xdr:spPr bwMode="auto">
        <a:xfrm flipV="1">
          <a:off x="2914650" y="2317750"/>
          <a:ext cx="609600" cy="165100"/>
        </a:xfrm>
        <a:prstGeom prst="line">
          <a:avLst/>
        </a:prstGeom>
        <a:noFill/>
        <a:ln w="9525">
          <a:solidFill>
            <a:srgbClr val="000000"/>
          </a:solidFill>
          <a:round/>
          <a:headEnd/>
          <a:tailEnd/>
        </a:ln>
      </xdr:spPr>
    </xdr:sp>
    <xdr:clientData/>
  </xdr:twoCellAnchor>
  <xdr:twoCellAnchor>
    <xdr:from>
      <xdr:col>3</xdr:col>
      <xdr:colOff>590550</xdr:colOff>
      <xdr:row>13</xdr:row>
      <xdr:rowOff>107950</xdr:rowOff>
    </xdr:from>
    <xdr:to>
      <xdr:col>4</xdr:col>
      <xdr:colOff>603250</xdr:colOff>
      <xdr:row>14</xdr:row>
      <xdr:rowOff>69850</xdr:rowOff>
    </xdr:to>
    <xdr:sp macro="" textlink="">
      <xdr:nvSpPr>
        <xdr:cNvPr id="9" name="Line 2"/>
        <xdr:cNvSpPr>
          <a:spLocks noChangeShapeType="1"/>
        </xdr:cNvSpPr>
      </xdr:nvSpPr>
      <xdr:spPr bwMode="auto">
        <a:xfrm>
          <a:off x="2914650" y="2501900"/>
          <a:ext cx="622300" cy="146050"/>
        </a:xfrm>
        <a:prstGeom prst="line">
          <a:avLst/>
        </a:prstGeom>
        <a:noFill/>
        <a:ln w="9525">
          <a:solidFill>
            <a:srgbClr val="000000"/>
          </a:solidFill>
          <a:round/>
          <a:headEnd/>
          <a:tailEnd/>
        </a:ln>
      </xdr:spPr>
    </xdr:sp>
    <xdr:clientData/>
  </xdr:twoCellAnchor>
  <xdr:twoCellAnchor>
    <xdr:from>
      <xdr:col>3</xdr:col>
      <xdr:colOff>590550</xdr:colOff>
      <xdr:row>17</xdr:row>
      <xdr:rowOff>107950</xdr:rowOff>
    </xdr:from>
    <xdr:to>
      <xdr:col>4</xdr:col>
      <xdr:colOff>590550</xdr:colOff>
      <xdr:row>18</xdr:row>
      <xdr:rowOff>88900</xdr:rowOff>
    </xdr:to>
    <xdr:sp macro="" textlink="">
      <xdr:nvSpPr>
        <xdr:cNvPr id="10"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3</xdr:col>
      <xdr:colOff>590550</xdr:colOff>
      <xdr:row>18</xdr:row>
      <xdr:rowOff>107950</xdr:rowOff>
    </xdr:from>
    <xdr:to>
      <xdr:col>4</xdr:col>
      <xdr:colOff>603250</xdr:colOff>
      <xdr:row>19</xdr:row>
      <xdr:rowOff>69850</xdr:rowOff>
    </xdr:to>
    <xdr:sp macro="" textlink="">
      <xdr:nvSpPr>
        <xdr:cNvPr id="11"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12"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13"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14"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15"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16"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17"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18"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twoCellAnchor>
    <xdr:from>
      <xdr:col>3</xdr:col>
      <xdr:colOff>590550</xdr:colOff>
      <xdr:row>19</xdr:row>
      <xdr:rowOff>107950</xdr:rowOff>
    </xdr:from>
    <xdr:to>
      <xdr:col>4</xdr:col>
      <xdr:colOff>590550</xdr:colOff>
      <xdr:row>20</xdr:row>
      <xdr:rowOff>88900</xdr:rowOff>
    </xdr:to>
    <xdr:sp macro="" textlink="">
      <xdr:nvSpPr>
        <xdr:cNvPr id="19" name="Line 1"/>
        <xdr:cNvSpPr>
          <a:spLocks noChangeShapeType="1"/>
        </xdr:cNvSpPr>
      </xdr:nvSpPr>
      <xdr:spPr bwMode="auto">
        <a:xfrm flipV="1">
          <a:off x="2914650" y="3606800"/>
          <a:ext cx="609600" cy="165100"/>
        </a:xfrm>
        <a:prstGeom prst="line">
          <a:avLst/>
        </a:prstGeom>
        <a:noFill/>
        <a:ln w="9525">
          <a:solidFill>
            <a:srgbClr val="000000"/>
          </a:solidFill>
          <a:round/>
          <a:headEnd/>
          <a:tailEnd/>
        </a:ln>
      </xdr:spPr>
    </xdr:sp>
    <xdr:clientData/>
  </xdr:twoCellAnchor>
  <xdr:twoCellAnchor>
    <xdr:from>
      <xdr:col>3</xdr:col>
      <xdr:colOff>590550</xdr:colOff>
      <xdr:row>20</xdr:row>
      <xdr:rowOff>107950</xdr:rowOff>
    </xdr:from>
    <xdr:to>
      <xdr:col>4</xdr:col>
      <xdr:colOff>603250</xdr:colOff>
      <xdr:row>21</xdr:row>
      <xdr:rowOff>69850</xdr:rowOff>
    </xdr:to>
    <xdr:sp macro="" textlink="">
      <xdr:nvSpPr>
        <xdr:cNvPr id="20" name="Line 2"/>
        <xdr:cNvSpPr>
          <a:spLocks noChangeShapeType="1"/>
        </xdr:cNvSpPr>
      </xdr:nvSpPr>
      <xdr:spPr bwMode="auto">
        <a:xfrm>
          <a:off x="2914650" y="37909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21" name="Line 1"/>
        <xdr:cNvSpPr>
          <a:spLocks noChangeShapeType="1"/>
        </xdr:cNvSpPr>
      </xdr:nvSpPr>
      <xdr:spPr bwMode="auto">
        <a:xfrm flipV="1">
          <a:off x="1695450" y="342265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22" name="Line 2"/>
        <xdr:cNvSpPr>
          <a:spLocks noChangeShapeType="1"/>
        </xdr:cNvSpPr>
      </xdr:nvSpPr>
      <xdr:spPr bwMode="auto">
        <a:xfrm>
          <a:off x="1695450" y="360680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23" name="Line 1"/>
        <xdr:cNvSpPr>
          <a:spLocks noChangeShapeType="1"/>
        </xdr:cNvSpPr>
      </xdr:nvSpPr>
      <xdr:spPr bwMode="auto">
        <a:xfrm flipV="1">
          <a:off x="1695450" y="471170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24" name="Line 2"/>
        <xdr:cNvSpPr>
          <a:spLocks noChangeShapeType="1"/>
        </xdr:cNvSpPr>
      </xdr:nvSpPr>
      <xdr:spPr bwMode="auto">
        <a:xfrm>
          <a:off x="1695450" y="4895850"/>
          <a:ext cx="622300" cy="146050"/>
        </a:xfrm>
        <a:prstGeom prst="line">
          <a:avLst/>
        </a:prstGeom>
        <a:noFill/>
        <a:ln w="9525">
          <a:solidFill>
            <a:srgbClr val="000000"/>
          </a:solidFill>
          <a:round/>
          <a:headEnd/>
          <a:tailEnd/>
        </a:ln>
      </xdr:spPr>
    </xdr:sp>
    <xdr:clientData/>
  </xdr:twoCellAnchor>
  <xdr:twoCellAnchor>
    <xdr:from>
      <xdr:col>3</xdr:col>
      <xdr:colOff>590550</xdr:colOff>
      <xdr:row>23</xdr:row>
      <xdr:rowOff>107950</xdr:rowOff>
    </xdr:from>
    <xdr:to>
      <xdr:col>4</xdr:col>
      <xdr:colOff>590550</xdr:colOff>
      <xdr:row>24</xdr:row>
      <xdr:rowOff>88900</xdr:rowOff>
    </xdr:to>
    <xdr:sp macro="" textlink="">
      <xdr:nvSpPr>
        <xdr:cNvPr id="25" name="Line 1"/>
        <xdr:cNvSpPr>
          <a:spLocks noChangeShapeType="1"/>
        </xdr:cNvSpPr>
      </xdr:nvSpPr>
      <xdr:spPr bwMode="auto">
        <a:xfrm flipV="1">
          <a:off x="2914650" y="4527550"/>
          <a:ext cx="609600" cy="165100"/>
        </a:xfrm>
        <a:prstGeom prst="line">
          <a:avLst/>
        </a:prstGeom>
        <a:noFill/>
        <a:ln w="9525">
          <a:solidFill>
            <a:srgbClr val="000000"/>
          </a:solidFill>
          <a:round/>
          <a:headEnd/>
          <a:tailEnd/>
        </a:ln>
      </xdr:spPr>
    </xdr:sp>
    <xdr:clientData/>
  </xdr:twoCellAnchor>
  <xdr:twoCellAnchor>
    <xdr:from>
      <xdr:col>3</xdr:col>
      <xdr:colOff>590550</xdr:colOff>
      <xdr:row>24</xdr:row>
      <xdr:rowOff>107950</xdr:rowOff>
    </xdr:from>
    <xdr:to>
      <xdr:col>4</xdr:col>
      <xdr:colOff>603250</xdr:colOff>
      <xdr:row>25</xdr:row>
      <xdr:rowOff>69850</xdr:rowOff>
    </xdr:to>
    <xdr:sp macro="" textlink="">
      <xdr:nvSpPr>
        <xdr:cNvPr id="26" name="Line 2"/>
        <xdr:cNvSpPr>
          <a:spLocks noChangeShapeType="1"/>
        </xdr:cNvSpPr>
      </xdr:nvSpPr>
      <xdr:spPr bwMode="auto">
        <a:xfrm>
          <a:off x="2914650" y="471170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27" name="Line 1"/>
        <xdr:cNvSpPr>
          <a:spLocks noChangeShapeType="1"/>
        </xdr:cNvSpPr>
      </xdr:nvSpPr>
      <xdr:spPr bwMode="auto">
        <a:xfrm flipV="1">
          <a:off x="2914650" y="4895850"/>
          <a:ext cx="609600" cy="16510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28" name="Line 1"/>
        <xdr:cNvSpPr>
          <a:spLocks noChangeShapeType="1"/>
        </xdr:cNvSpPr>
      </xdr:nvSpPr>
      <xdr:spPr bwMode="auto">
        <a:xfrm flipV="1">
          <a:off x="2914650" y="489585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29" name="Line 2"/>
        <xdr:cNvSpPr>
          <a:spLocks noChangeShapeType="1"/>
        </xdr:cNvSpPr>
      </xdr:nvSpPr>
      <xdr:spPr bwMode="auto">
        <a:xfrm>
          <a:off x="2914650" y="508000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30" name="Line 1"/>
        <xdr:cNvSpPr>
          <a:spLocks noChangeShapeType="1"/>
        </xdr:cNvSpPr>
      </xdr:nvSpPr>
      <xdr:spPr bwMode="auto">
        <a:xfrm flipV="1">
          <a:off x="2914650" y="489585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31" name="Line 2"/>
        <xdr:cNvSpPr>
          <a:spLocks noChangeShapeType="1"/>
        </xdr:cNvSpPr>
      </xdr:nvSpPr>
      <xdr:spPr bwMode="auto">
        <a:xfrm>
          <a:off x="2914650" y="508000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32" name="Line 1"/>
        <xdr:cNvSpPr>
          <a:spLocks noChangeShapeType="1"/>
        </xdr:cNvSpPr>
      </xdr:nvSpPr>
      <xdr:spPr bwMode="auto">
        <a:xfrm flipV="1">
          <a:off x="1695450" y="471170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33" name="Line 2"/>
        <xdr:cNvSpPr>
          <a:spLocks noChangeShapeType="1"/>
        </xdr:cNvSpPr>
      </xdr:nvSpPr>
      <xdr:spPr bwMode="auto">
        <a:xfrm>
          <a:off x="1695450" y="4895850"/>
          <a:ext cx="622300" cy="146050"/>
        </a:xfrm>
        <a:prstGeom prst="line">
          <a:avLst/>
        </a:prstGeom>
        <a:noFill/>
        <a:ln w="9525">
          <a:solidFill>
            <a:srgbClr val="000000"/>
          </a:solidFill>
          <a:round/>
          <a:headEnd/>
          <a:tailEnd/>
        </a:ln>
      </xdr:spPr>
    </xdr:sp>
    <xdr:clientData/>
  </xdr:twoCellAnchor>
  <xdr:twoCellAnchor>
    <xdr:from>
      <xdr:col>3</xdr:col>
      <xdr:colOff>590550</xdr:colOff>
      <xdr:row>25</xdr:row>
      <xdr:rowOff>107950</xdr:rowOff>
    </xdr:from>
    <xdr:to>
      <xdr:col>4</xdr:col>
      <xdr:colOff>590550</xdr:colOff>
      <xdr:row>26</xdr:row>
      <xdr:rowOff>88900</xdr:rowOff>
    </xdr:to>
    <xdr:sp macro="" textlink="">
      <xdr:nvSpPr>
        <xdr:cNvPr id="34" name="Line 1"/>
        <xdr:cNvSpPr>
          <a:spLocks noChangeShapeType="1"/>
        </xdr:cNvSpPr>
      </xdr:nvSpPr>
      <xdr:spPr bwMode="auto">
        <a:xfrm flipV="1">
          <a:off x="2914650" y="4895850"/>
          <a:ext cx="609600" cy="165100"/>
        </a:xfrm>
        <a:prstGeom prst="line">
          <a:avLst/>
        </a:prstGeom>
        <a:noFill/>
        <a:ln w="9525">
          <a:solidFill>
            <a:srgbClr val="000000"/>
          </a:solidFill>
          <a:round/>
          <a:headEnd/>
          <a:tailEnd/>
        </a:ln>
      </xdr:spPr>
    </xdr:sp>
    <xdr:clientData/>
  </xdr:twoCellAnchor>
  <xdr:twoCellAnchor>
    <xdr:from>
      <xdr:col>3</xdr:col>
      <xdr:colOff>590550</xdr:colOff>
      <xdr:row>26</xdr:row>
      <xdr:rowOff>107950</xdr:rowOff>
    </xdr:from>
    <xdr:to>
      <xdr:col>4</xdr:col>
      <xdr:colOff>603250</xdr:colOff>
      <xdr:row>27</xdr:row>
      <xdr:rowOff>69850</xdr:rowOff>
    </xdr:to>
    <xdr:sp macro="" textlink="">
      <xdr:nvSpPr>
        <xdr:cNvPr id="35" name="Line 2"/>
        <xdr:cNvSpPr>
          <a:spLocks noChangeShapeType="1"/>
        </xdr:cNvSpPr>
      </xdr:nvSpPr>
      <xdr:spPr bwMode="auto">
        <a:xfrm>
          <a:off x="2914650" y="5080000"/>
          <a:ext cx="622300" cy="146050"/>
        </a:xfrm>
        <a:prstGeom prst="line">
          <a:avLst/>
        </a:prstGeom>
        <a:noFill/>
        <a:ln w="9525">
          <a:solidFill>
            <a:srgbClr val="000000"/>
          </a:solidFill>
          <a:round/>
          <a:headEnd/>
          <a:tailEnd/>
        </a:ln>
      </xdr:spPr>
    </xdr:sp>
    <xdr:clientData/>
  </xdr:twoCellAnchor>
  <xdr:twoCellAnchor>
    <xdr:from>
      <xdr:col>1</xdr:col>
      <xdr:colOff>590550</xdr:colOff>
      <xdr:row>24</xdr:row>
      <xdr:rowOff>107950</xdr:rowOff>
    </xdr:from>
    <xdr:to>
      <xdr:col>2</xdr:col>
      <xdr:colOff>590550</xdr:colOff>
      <xdr:row>25</xdr:row>
      <xdr:rowOff>88900</xdr:rowOff>
    </xdr:to>
    <xdr:sp macro="" textlink="">
      <xdr:nvSpPr>
        <xdr:cNvPr id="36" name="Line 1"/>
        <xdr:cNvSpPr>
          <a:spLocks noChangeShapeType="1"/>
        </xdr:cNvSpPr>
      </xdr:nvSpPr>
      <xdr:spPr bwMode="auto">
        <a:xfrm flipV="1">
          <a:off x="1695450" y="4711700"/>
          <a:ext cx="609600" cy="165100"/>
        </a:xfrm>
        <a:prstGeom prst="line">
          <a:avLst/>
        </a:prstGeom>
        <a:noFill/>
        <a:ln w="9525">
          <a:solidFill>
            <a:srgbClr val="000000"/>
          </a:solidFill>
          <a:round/>
          <a:headEnd/>
          <a:tailEnd/>
        </a:ln>
      </xdr:spPr>
    </xdr:sp>
    <xdr:clientData/>
  </xdr:twoCellAnchor>
  <xdr:twoCellAnchor>
    <xdr:from>
      <xdr:col>1</xdr:col>
      <xdr:colOff>590550</xdr:colOff>
      <xdr:row>25</xdr:row>
      <xdr:rowOff>107950</xdr:rowOff>
    </xdr:from>
    <xdr:to>
      <xdr:col>2</xdr:col>
      <xdr:colOff>603250</xdr:colOff>
      <xdr:row>26</xdr:row>
      <xdr:rowOff>69850</xdr:rowOff>
    </xdr:to>
    <xdr:sp macro="" textlink="">
      <xdr:nvSpPr>
        <xdr:cNvPr id="37" name="Line 2"/>
        <xdr:cNvSpPr>
          <a:spLocks noChangeShapeType="1"/>
        </xdr:cNvSpPr>
      </xdr:nvSpPr>
      <xdr:spPr bwMode="auto">
        <a:xfrm>
          <a:off x="1695450" y="4895850"/>
          <a:ext cx="622300" cy="146050"/>
        </a:xfrm>
        <a:prstGeom prst="line">
          <a:avLst/>
        </a:prstGeom>
        <a:noFill/>
        <a:ln w="9525">
          <a:solidFill>
            <a:srgbClr val="000000"/>
          </a:solidFill>
          <a:round/>
          <a:headEnd/>
          <a:tailEnd/>
        </a:ln>
      </xdr:spPr>
    </xdr:sp>
    <xdr:clientData/>
  </xdr:twoCellAnchor>
  <xdr:twoCellAnchor>
    <xdr:from>
      <xdr:col>1</xdr:col>
      <xdr:colOff>590550</xdr:colOff>
      <xdr:row>18</xdr:row>
      <xdr:rowOff>107950</xdr:rowOff>
    </xdr:from>
    <xdr:to>
      <xdr:col>2</xdr:col>
      <xdr:colOff>590550</xdr:colOff>
      <xdr:row>19</xdr:row>
      <xdr:rowOff>88900</xdr:rowOff>
    </xdr:to>
    <xdr:sp macro="" textlink="">
      <xdr:nvSpPr>
        <xdr:cNvPr id="38" name="Line 1"/>
        <xdr:cNvSpPr>
          <a:spLocks noChangeShapeType="1"/>
        </xdr:cNvSpPr>
      </xdr:nvSpPr>
      <xdr:spPr bwMode="auto">
        <a:xfrm flipV="1">
          <a:off x="2914650" y="3238500"/>
          <a:ext cx="609600" cy="165100"/>
        </a:xfrm>
        <a:prstGeom prst="line">
          <a:avLst/>
        </a:prstGeom>
        <a:noFill/>
        <a:ln w="9525">
          <a:solidFill>
            <a:srgbClr val="000000"/>
          </a:solidFill>
          <a:round/>
          <a:headEnd/>
          <a:tailEnd/>
        </a:ln>
      </xdr:spPr>
    </xdr:sp>
    <xdr:clientData/>
  </xdr:twoCellAnchor>
  <xdr:twoCellAnchor>
    <xdr:from>
      <xdr:col>1</xdr:col>
      <xdr:colOff>590550</xdr:colOff>
      <xdr:row>19</xdr:row>
      <xdr:rowOff>107950</xdr:rowOff>
    </xdr:from>
    <xdr:to>
      <xdr:col>2</xdr:col>
      <xdr:colOff>603250</xdr:colOff>
      <xdr:row>20</xdr:row>
      <xdr:rowOff>69850</xdr:rowOff>
    </xdr:to>
    <xdr:sp macro="" textlink="">
      <xdr:nvSpPr>
        <xdr:cNvPr id="39" name="Line 2"/>
        <xdr:cNvSpPr>
          <a:spLocks noChangeShapeType="1"/>
        </xdr:cNvSpPr>
      </xdr:nvSpPr>
      <xdr:spPr bwMode="auto">
        <a:xfrm>
          <a:off x="2914650" y="3422650"/>
          <a:ext cx="622300" cy="146050"/>
        </a:xfrm>
        <a:prstGeom prst="line">
          <a:avLst/>
        </a:prstGeom>
        <a:no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selection activeCell="H11" sqref="H11"/>
    </sheetView>
  </sheetViews>
  <sheetFormatPr defaultRowHeight="14.5"/>
  <cols>
    <col min="1" max="1" width="15.81640625" customWidth="1"/>
    <col min="10" max="10" width="9.36328125" bestFit="1" customWidth="1"/>
  </cols>
  <sheetData>
    <row r="1" spans="1:11">
      <c r="A1" s="1" t="s">
        <v>6</v>
      </c>
    </row>
    <row r="3" spans="1:11">
      <c r="A3" t="s">
        <v>1</v>
      </c>
      <c r="B3" s="2">
        <v>50</v>
      </c>
      <c r="E3" t="s">
        <v>7</v>
      </c>
      <c r="F3" s="5">
        <f>EXP(B7*SQRT(B5))</f>
        <v>1.1936534017243488</v>
      </c>
      <c r="H3" s="3">
        <f>B3*F3</f>
        <v>59.682670086217435</v>
      </c>
      <c r="J3">
        <f>8/18</f>
        <v>0.44444444444444442</v>
      </c>
      <c r="K3" s="5">
        <f>60/50</f>
        <v>1.2</v>
      </c>
    </row>
    <row r="4" spans="1:11">
      <c r="A4" t="s">
        <v>2</v>
      </c>
      <c r="B4" s="2">
        <v>52</v>
      </c>
      <c r="E4" t="s">
        <v>8</v>
      </c>
      <c r="F4" s="5">
        <f>1/F3</f>
        <v>0.83776412696969027</v>
      </c>
      <c r="H4" s="3">
        <f>B3*F4</f>
        <v>41.888206348484516</v>
      </c>
      <c r="J4">
        <f>42*J3</f>
        <v>18.666666666666664</v>
      </c>
      <c r="K4">
        <f>42/50</f>
        <v>0.84</v>
      </c>
    </row>
    <row r="5" spans="1:11">
      <c r="A5" t="s">
        <v>3</v>
      </c>
      <c r="B5" s="5">
        <f>183/365</f>
        <v>0.50136986301369868</v>
      </c>
      <c r="E5" t="s">
        <v>9</v>
      </c>
      <c r="F5" s="7">
        <f>(EXP(B6*B5)-F4)/(F3-F4)</f>
        <v>0.60032994575905763</v>
      </c>
      <c r="J5">
        <f>J4*EXP(-0.1*0.5)</f>
        <v>17.756282590679994</v>
      </c>
    </row>
    <row r="6" spans="1:11">
      <c r="A6" t="s">
        <v>4</v>
      </c>
      <c r="B6" s="4">
        <v>0.1</v>
      </c>
      <c r="J6">
        <f>J5-50*0.4444</f>
        <v>-4.463717409320008</v>
      </c>
    </row>
    <row r="7" spans="1:11">
      <c r="A7" t="s">
        <v>0</v>
      </c>
      <c r="B7" s="4">
        <v>0.25</v>
      </c>
      <c r="J7" s="6">
        <f>(EXP(0.1*0.5)-K4)/(K3-K4)</f>
        <v>0.58686415660006708</v>
      </c>
      <c r="K7" s="6">
        <f>1-J7</f>
        <v>0.41313584339993292</v>
      </c>
    </row>
    <row r="8" spans="1:11">
      <c r="A8" t="s">
        <v>5</v>
      </c>
      <c r="B8">
        <v>0</v>
      </c>
      <c r="J8">
        <f>EXP(-0.1*0.5)*(0.5869*8+(1-0.5869)*0)</f>
        <v>4.4662123939157521</v>
      </c>
    </row>
    <row r="9" spans="1:11">
      <c r="J9">
        <f>EXP(-0.1*0.5)*(0.5869*60+(1-0.5869)*42)</f>
        <v>50.000613715340428</v>
      </c>
    </row>
    <row r="12" spans="1:11">
      <c r="A12" t="s">
        <v>10</v>
      </c>
      <c r="B12" s="2"/>
      <c r="C12" s="2"/>
      <c r="D12" s="8">
        <v>60</v>
      </c>
    </row>
    <row r="13" spans="1:11">
      <c r="B13" s="8">
        <v>50</v>
      </c>
      <c r="C13" s="2"/>
      <c r="D13" s="2"/>
    </row>
    <row r="14" spans="1:11">
      <c r="B14" s="2"/>
      <c r="C14" s="2"/>
      <c r="D14" s="8">
        <v>42</v>
      </c>
    </row>
    <row r="17" spans="1:4">
      <c r="A17" t="s">
        <v>11</v>
      </c>
      <c r="B17" s="2"/>
      <c r="C17" s="2"/>
      <c r="D17" s="8">
        <f>MAX(D12-$B$4,0)</f>
        <v>8</v>
      </c>
    </row>
    <row r="18" spans="1:4">
      <c r="B18" s="8" t="s">
        <v>12</v>
      </c>
      <c r="C18" s="2"/>
      <c r="D18" s="2"/>
    </row>
    <row r="19" spans="1:4">
      <c r="B19" s="2"/>
      <c r="C19" s="2"/>
      <c r="D19" s="8">
        <f>MAX(D14-$B$4,0)</f>
        <v>0</v>
      </c>
    </row>
    <row r="21" spans="1:4">
      <c r="A21" t="s">
        <v>13</v>
      </c>
      <c r="B21" s="9"/>
      <c r="C21" s="9"/>
      <c r="D21" s="10" t="s">
        <v>15</v>
      </c>
    </row>
    <row r="22" spans="1:4">
      <c r="B22" s="10" t="s">
        <v>14</v>
      </c>
      <c r="C22" s="9"/>
      <c r="D22" s="9"/>
    </row>
    <row r="23" spans="1:4">
      <c r="B23" s="9"/>
      <c r="C23" s="9"/>
      <c r="D23" s="10" t="s">
        <v>16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K30"/>
  <sheetViews>
    <sheetView workbookViewId="0">
      <selection activeCell="D25" sqref="D25"/>
    </sheetView>
  </sheetViews>
  <sheetFormatPr defaultRowHeight="14.5"/>
  <cols>
    <col min="1" max="1" width="15.81640625" customWidth="1"/>
    <col min="10" max="10" width="9.36328125" bestFit="1" customWidth="1"/>
  </cols>
  <sheetData>
    <row r="1" spans="1:11">
      <c r="A1" s="1" t="s">
        <v>17</v>
      </c>
    </row>
    <row r="3" spans="1:11">
      <c r="A3" t="s">
        <v>1</v>
      </c>
      <c r="B3" s="2">
        <v>50</v>
      </c>
      <c r="E3" t="s">
        <v>7</v>
      </c>
      <c r="F3" s="5">
        <f>EXP(B7*SQRT(B5/2))</f>
        <v>1.1333423692096949</v>
      </c>
      <c r="H3" s="3">
        <f>EXP(-B5*B6)*(F5^2*F18)</f>
        <v>3.7756242607658379</v>
      </c>
      <c r="K3" s="5"/>
    </row>
    <row r="4" spans="1:11">
      <c r="A4" t="s">
        <v>2</v>
      </c>
      <c r="B4" s="2">
        <v>52</v>
      </c>
      <c r="E4" t="s">
        <v>8</v>
      </c>
      <c r="F4" s="5">
        <f>1/F3</f>
        <v>0.8823459063807193</v>
      </c>
      <c r="H4" s="3"/>
    </row>
    <row r="5" spans="1:11">
      <c r="A5" t="s">
        <v>3</v>
      </c>
      <c r="B5" s="5">
        <f>183/365</f>
        <v>0.50136986301369868</v>
      </c>
      <c r="E5" t="s">
        <v>9</v>
      </c>
      <c r="F5" s="7">
        <f>(EXP(B6*B5/2)-F4)/(F3-F4)</f>
        <v>0.56988629241884958</v>
      </c>
    </row>
    <row r="6" spans="1:11">
      <c r="A6" t="s">
        <v>4</v>
      </c>
      <c r="B6" s="4">
        <v>0.1</v>
      </c>
    </row>
    <row r="7" spans="1:11">
      <c r="A7" t="s">
        <v>0</v>
      </c>
      <c r="B7" s="4">
        <v>0.25</v>
      </c>
      <c r="J7" s="6"/>
      <c r="K7" s="6"/>
    </row>
    <row r="8" spans="1:11">
      <c r="A8" t="s">
        <v>5</v>
      </c>
      <c r="B8">
        <v>0</v>
      </c>
    </row>
    <row r="11" spans="1:11">
      <c r="E11" s="2"/>
      <c r="F11" s="8">
        <f>$F$3*D12</f>
        <v>64.223246292292217</v>
      </c>
    </row>
    <row r="12" spans="1:11">
      <c r="A12" t="s">
        <v>10</v>
      </c>
      <c r="B12" s="2"/>
      <c r="C12" s="2"/>
      <c r="D12" s="8">
        <f>$F$3*B13</f>
        <v>56.667118460484744</v>
      </c>
      <c r="E12" s="2"/>
      <c r="F12" s="2"/>
    </row>
    <row r="13" spans="1:11">
      <c r="B13" s="8">
        <f>B3</f>
        <v>50</v>
      </c>
      <c r="C13" s="2"/>
      <c r="D13" s="2"/>
      <c r="E13" s="2"/>
      <c r="F13" s="8">
        <f>$F$3*D14</f>
        <v>50.000000000000007</v>
      </c>
    </row>
    <row r="14" spans="1:11">
      <c r="B14" s="2"/>
      <c r="C14" s="2"/>
      <c r="D14" s="8">
        <f>$F$4*B13</f>
        <v>44.117295319035968</v>
      </c>
      <c r="E14" s="2"/>
      <c r="F14" s="2"/>
    </row>
    <row r="15" spans="1:11">
      <c r="E15" s="2"/>
      <c r="F15" s="8">
        <f>$F$4*D14</f>
        <v>38.926714925340654</v>
      </c>
    </row>
    <row r="16" spans="1:11">
      <c r="E16" s="2"/>
      <c r="F16" s="11"/>
    </row>
    <row r="17" spans="1:6">
      <c r="E17" s="2"/>
      <c r="F17" s="11"/>
    </row>
    <row r="18" spans="1:6">
      <c r="E18" s="2"/>
      <c r="F18" s="8">
        <f>MAX(F11-$B$4,0)</f>
        <v>12.223246292292217</v>
      </c>
    </row>
    <row r="19" spans="1:6">
      <c r="A19" t="s">
        <v>19</v>
      </c>
      <c r="B19" s="2"/>
      <c r="C19" s="2"/>
      <c r="D19" s="8">
        <f>EXP(-$B$6*$B$5/2)*($F$5*F18+(1-$F$5)*F20)</f>
        <v>6.793407484208096</v>
      </c>
      <c r="E19" s="2"/>
      <c r="F19" s="2"/>
    </row>
    <row r="20" spans="1:6">
      <c r="B20" s="8">
        <f>EXP(-$B$6*$B$5/2)*($F$5*D19+(1-$F$5)*D21)</f>
        <v>3.7756242607658383</v>
      </c>
      <c r="C20" s="2"/>
      <c r="D20" s="2"/>
      <c r="E20" s="2"/>
      <c r="F20" s="8">
        <f>MAX(F13-$B$4,0)</f>
        <v>0</v>
      </c>
    </row>
    <row r="21" spans="1:6">
      <c r="B21" s="2"/>
      <c r="C21" s="2"/>
      <c r="D21" s="8">
        <f>EXP(-$B$6*$B$5/2)*($F$5*F20+(1-$F$5)*F22)</f>
        <v>0</v>
      </c>
      <c r="E21" s="2"/>
      <c r="F21" s="2"/>
    </row>
    <row r="22" spans="1:6">
      <c r="E22" s="2"/>
      <c r="F22" s="8">
        <f>MAX(F15-$B$4,0)</f>
        <v>0</v>
      </c>
    </row>
    <row r="24" spans="1:6">
      <c r="E24" s="2"/>
      <c r="F24" s="8">
        <f>MAX($B$4-F11,0)</f>
        <v>0</v>
      </c>
    </row>
    <row r="25" spans="1:6">
      <c r="A25" t="s">
        <v>20</v>
      </c>
      <c r="B25" s="2"/>
      <c r="C25" s="2"/>
      <c r="D25" s="8">
        <f>EXP(-$B$6*$B$5/2)*($F$5*F24+(1-$F$5)*F26)</f>
        <v>0.83893086162049335</v>
      </c>
      <c r="E25" s="2"/>
      <c r="F25" s="2"/>
    </row>
    <row r="26" spans="1:6">
      <c r="B26" s="8">
        <f>EXP(-$B$6*$B$5/2)*($F$5*D25+(1-$F$5)*D27)</f>
        <v>3.2327789180511388</v>
      </c>
      <c r="C26" s="2"/>
      <c r="D26" s="2"/>
      <c r="E26" s="2"/>
      <c r="F26" s="8">
        <f>MAX($B$4-F13,0)</f>
        <v>1.9999999999999929</v>
      </c>
    </row>
    <row r="27" spans="1:6">
      <c r="B27" s="2"/>
      <c r="C27" s="2"/>
      <c r="D27" s="8">
        <f>EXP(-$B$6*$B$5/2)*($F$5*F26+(1-$F$5)*F28)</f>
        <v>6.5953465188611764</v>
      </c>
      <c r="E27" s="2"/>
      <c r="F27" s="2"/>
    </row>
    <row r="28" spans="1:6">
      <c r="E28" s="2"/>
      <c r="F28" s="8">
        <f>MAX($B$4-F15,0)</f>
        <v>13.073285074659346</v>
      </c>
    </row>
    <row r="30" spans="1:6">
      <c r="B30" t="s">
        <v>21</v>
      </c>
      <c r="D30" t="s">
        <v>22</v>
      </c>
      <c r="F30" t="s">
        <v>23</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sheetPr codeName="Sheet3"/>
  <dimension ref="A1:K33"/>
  <sheetViews>
    <sheetView workbookViewId="0">
      <selection activeCell="B34" sqref="B34"/>
    </sheetView>
  </sheetViews>
  <sheetFormatPr defaultRowHeight="14.5"/>
  <cols>
    <col min="1" max="1" width="15.81640625" customWidth="1"/>
    <col min="10" max="10" width="9.36328125" bestFit="1" customWidth="1"/>
  </cols>
  <sheetData>
    <row r="1" spans="1:11">
      <c r="A1" s="1" t="s">
        <v>18</v>
      </c>
    </row>
    <row r="3" spans="1:11">
      <c r="A3" t="s">
        <v>1</v>
      </c>
      <c r="B3" s="2">
        <v>50</v>
      </c>
      <c r="E3" t="s">
        <v>7</v>
      </c>
      <c r="F3" s="5">
        <f>EXP(B7*SQRT(B5/2))</f>
        <v>1.1333423692096949</v>
      </c>
      <c r="H3" s="3"/>
      <c r="K3" s="5"/>
    </row>
    <row r="4" spans="1:11">
      <c r="A4" t="s">
        <v>2</v>
      </c>
      <c r="B4" s="2">
        <v>52</v>
      </c>
      <c r="E4" t="s">
        <v>8</v>
      </c>
      <c r="F4" s="5">
        <f>1/F3</f>
        <v>0.8823459063807193</v>
      </c>
      <c r="H4" s="3"/>
    </row>
    <row r="5" spans="1:11">
      <c r="A5" t="s">
        <v>3</v>
      </c>
      <c r="B5" s="5">
        <f>183/365</f>
        <v>0.50136986301369868</v>
      </c>
      <c r="E5" t="s">
        <v>9</v>
      </c>
      <c r="F5" s="7">
        <f>(EXP(B6*B5/2)-F4)/(F3-F4)</f>
        <v>0.56988629241884958</v>
      </c>
    </row>
    <row r="6" spans="1:11">
      <c r="A6" t="s">
        <v>4</v>
      </c>
      <c r="B6" s="4">
        <v>0.1</v>
      </c>
    </row>
    <row r="7" spans="1:11">
      <c r="A7" t="s">
        <v>0</v>
      </c>
      <c r="B7" s="4">
        <v>0.25</v>
      </c>
      <c r="J7" s="6"/>
      <c r="K7" s="6"/>
    </row>
    <row r="11" spans="1:11">
      <c r="E11" s="2"/>
      <c r="F11" s="8">
        <f>$F$3*D12</f>
        <v>64.223246292292217</v>
      </c>
    </row>
    <row r="12" spans="1:11">
      <c r="A12" t="s">
        <v>10</v>
      </c>
      <c r="B12" s="2"/>
      <c r="C12" s="2"/>
      <c r="D12" s="8">
        <f>$F$3*B13</f>
        <v>56.667118460484744</v>
      </c>
      <c r="E12" s="2"/>
      <c r="F12" s="2"/>
    </row>
    <row r="13" spans="1:11">
      <c r="B13" s="8">
        <f>B3</f>
        <v>50</v>
      </c>
      <c r="C13" s="2"/>
      <c r="D13" s="2"/>
      <c r="E13" s="2"/>
      <c r="F13" s="8">
        <f>$F$3*D14</f>
        <v>50.000000000000007</v>
      </c>
    </row>
    <row r="14" spans="1:11">
      <c r="B14" s="2"/>
      <c r="C14" s="2"/>
      <c r="D14" s="8">
        <f>$F$4*B13</f>
        <v>44.117295319035968</v>
      </c>
      <c r="E14" s="2"/>
      <c r="F14" s="2"/>
    </row>
    <row r="15" spans="1:11">
      <c r="E15" s="2"/>
      <c r="F15" s="8">
        <f>$F$4*D14</f>
        <v>38.926714925340654</v>
      </c>
    </row>
    <row r="16" spans="1:11">
      <c r="E16" s="2"/>
      <c r="F16" s="11"/>
    </row>
    <row r="17" spans="1:8">
      <c r="E17" s="2"/>
      <c r="F17" s="11"/>
    </row>
    <row r="18" spans="1:8">
      <c r="E18" s="2"/>
      <c r="F18" s="8">
        <f>MAX(F11-$B$4,0)</f>
        <v>12.223246292292217</v>
      </c>
    </row>
    <row r="19" spans="1:8">
      <c r="A19" t="s">
        <v>19</v>
      </c>
      <c r="B19" s="2"/>
      <c r="C19" s="2"/>
      <c r="D19" s="8">
        <f>MAX(D12-$B$4,EXP(-$B$6*$B$5/2)*($F$5*F18+(1-$F$5)*F20))</f>
        <v>6.793407484208096</v>
      </c>
      <c r="E19" s="2"/>
      <c r="F19" s="2"/>
    </row>
    <row r="20" spans="1:8">
      <c r="B20" s="8">
        <f>MAX(B13-$B$4,EXP(-$B$6*$B$5/2)*($F$5*D19+(1-$F$5)*D21))</f>
        <v>3.7756242607658383</v>
      </c>
      <c r="C20" s="2"/>
      <c r="D20" s="2"/>
      <c r="E20" s="2"/>
      <c r="F20" s="8">
        <f>MAX(F13-$B$4,0)</f>
        <v>0</v>
      </c>
    </row>
    <row r="21" spans="1:8">
      <c r="B21" s="2"/>
      <c r="C21" s="2"/>
      <c r="D21" s="8">
        <f>MAX(D14-$B$4,EXP(-$B$6*$B$5/2)*($F$5*F20+(1-$F$5)*F22))</f>
        <v>0</v>
      </c>
      <c r="E21" s="2"/>
      <c r="F21" s="2"/>
    </row>
    <row r="22" spans="1:8">
      <c r="E22" s="2"/>
      <c r="F22" s="8">
        <f>MAX(F15-$B$4,0)</f>
        <v>0</v>
      </c>
    </row>
    <row r="24" spans="1:8">
      <c r="E24" s="2"/>
      <c r="F24" s="8">
        <f>MAX($B$4-F11,0)</f>
        <v>0</v>
      </c>
    </row>
    <row r="25" spans="1:8">
      <c r="A25" t="s">
        <v>20</v>
      </c>
      <c r="B25" s="2"/>
      <c r="C25" s="2"/>
      <c r="D25" s="8">
        <f>MAX($B$4-D12,EXP(-$B$6*$B$5/2)*($F$5*F24+(1-$F$5)*F26))</f>
        <v>0.83893086162049335</v>
      </c>
      <c r="E25" s="2"/>
      <c r="F25" s="2"/>
    </row>
    <row r="26" spans="1:8">
      <c r="B26" s="8">
        <f>MAX($B$4-B13,EXP(-$B$6*$B$5/2)*($F$5*D25+(1-$F$5)*D27))</f>
        <v>3.7727811641247029</v>
      </c>
      <c r="C26" s="2"/>
      <c r="D26" s="2"/>
      <c r="E26" s="2"/>
      <c r="F26" s="8">
        <f>MAX($B$4-F13,0)</f>
        <v>1.9999999999999929</v>
      </c>
      <c r="H26" s="3"/>
    </row>
    <row r="27" spans="1:8">
      <c r="B27" s="2"/>
      <c r="C27" s="2"/>
      <c r="D27" s="8">
        <f>MAX($B$4-D14,EXP(-$B$6*$B$5/2)*($F$5*F26+(1-$F$5)*F28))</f>
        <v>7.8827046809640322</v>
      </c>
      <c r="E27" s="2"/>
      <c r="F27" s="2"/>
    </row>
    <row r="28" spans="1:8">
      <c r="E28" s="2"/>
      <c r="F28" s="8">
        <f>MAX($B$4-F15,0)</f>
        <v>13.073285074659346</v>
      </c>
    </row>
    <row r="29" spans="1:8">
      <c r="H29" s="3"/>
    </row>
    <row r="30" spans="1:8">
      <c r="B30" t="s">
        <v>21</v>
      </c>
      <c r="D30" t="s">
        <v>22</v>
      </c>
      <c r="F30" t="s">
        <v>23</v>
      </c>
    </row>
    <row r="32" spans="1:8">
      <c r="A32" t="s">
        <v>24</v>
      </c>
    </row>
    <row r="33" spans="2:2">
      <c r="B33" s="2">
        <f>AmericanPutBin(B3,B4,B5,B6,B7,2)</f>
        <v>3.7716466439589227</v>
      </c>
    </row>
  </sheetData>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European</vt:lpstr>
      <vt:lpstr>American</vt:lpstr>
    </vt:vector>
  </TitlesOfParts>
  <Company>Babson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Dessislava Pachamanova</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2009-10-07T14:39:46Z</dcterms:created>
  <dcterms:modified xsi:type="dcterms:W3CDTF">2010-03-08T03:01:01Z</dcterms:modified>
</cp:coreProperties>
</file>