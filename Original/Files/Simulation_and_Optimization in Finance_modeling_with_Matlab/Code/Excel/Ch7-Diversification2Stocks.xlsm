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6D7BE3D0-9255-6837-6703-DDC3ED590948}"/>
  <workbookPr codeName="ThisWorkbook" defaultThemeVersion="124226"/>
  <bookViews>
    <workbookView xWindow="200" yWindow="20" windowWidth="8930" windowHeight="4430"/>
  </bookViews>
  <sheets>
    <sheet name="Diversification" sheetId="1" r:id="rId1"/>
    <sheet name="Optimization" sheetId="2" r:id="rId2"/>
    <sheet name="Optimization (Mx)" sheetId="4" r:id="rId3"/>
    <sheet name="Efficient Frontier" sheetId="3" r:id="rId4"/>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dRecalcBehavior" hidden="1">1</definedName>
    <definedName name="_AtRisk_SimSetting_StdRecalcWithoutRiskStatic" hidden="1">0</definedName>
    <definedName name="_AtRisk_SimSetting_StdRecalcWithoutRiskStaticPercentile" hidden="1">0.5</definedName>
    <definedName name="increment">'Efficient Frontier'!$N$5</definedName>
    <definedName name="iterations">'Efficient Frontier'!$N$6</definedName>
    <definedName name="min_return">'Efficient Frontier'!$N$4</definedName>
    <definedName name="minReturn">'Efficient Frontier'!$N$4</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solver_adj" localSheetId="3" hidden="1">'Efficient Frontier'!$B$11:$C$11</definedName>
    <definedName name="solver_adj" localSheetId="1" hidden="1">Optimization!$B$11:$C$11</definedName>
    <definedName name="solver_adj" localSheetId="2" hidden="1">'Optimization (Mx)'!$B$11:$C$11</definedName>
    <definedName name="solver_cvg" localSheetId="3" hidden="1">0.0001</definedName>
    <definedName name="solver_cvg" localSheetId="1" hidden="1">0.0001</definedName>
    <definedName name="solver_cvg" localSheetId="2" hidden="1">0.0001</definedName>
    <definedName name="solver_drv" localSheetId="3" hidden="1">1</definedName>
    <definedName name="solver_drv" localSheetId="1" hidden="1">1</definedName>
    <definedName name="solver_drv" localSheetId="2" hidden="1">1</definedName>
    <definedName name="solver_est" localSheetId="3" hidden="1">1</definedName>
    <definedName name="solver_est" localSheetId="1" hidden="1">1</definedName>
    <definedName name="solver_est" localSheetId="2" hidden="1">1</definedName>
    <definedName name="solver_itr" localSheetId="3" hidden="1">100</definedName>
    <definedName name="solver_itr" localSheetId="1" hidden="1">100</definedName>
    <definedName name="solver_itr" localSheetId="2" hidden="1">100</definedName>
    <definedName name="solver_lhs1" localSheetId="3" hidden="1">'Efficient Frontier'!$B$17</definedName>
    <definedName name="solver_lhs1" localSheetId="1" hidden="1">Optimization!$B$17</definedName>
    <definedName name="solver_lhs1" localSheetId="2" hidden="1">'Optimization (Mx)'!$B$17</definedName>
    <definedName name="solver_lhs2" localSheetId="3" hidden="1">'Efficient Frontier'!$B$18</definedName>
    <definedName name="solver_lhs2" localSheetId="1" hidden="1">Optimization!$B$18</definedName>
    <definedName name="solver_lhs2" localSheetId="2" hidden="1">'Optimization (Mx)'!$B$18</definedName>
    <definedName name="solver_lin" localSheetId="3" hidden="1">2</definedName>
    <definedName name="solver_lin" localSheetId="1" hidden="1">2</definedName>
    <definedName name="solver_lin" localSheetId="2" hidden="1">2</definedName>
    <definedName name="solver_neg" localSheetId="3" hidden="1">2</definedName>
    <definedName name="solver_neg" localSheetId="1" hidden="1">2</definedName>
    <definedName name="solver_neg" localSheetId="2" hidden="1">2</definedName>
    <definedName name="solver_num" localSheetId="3" hidden="1">2</definedName>
    <definedName name="solver_num" localSheetId="1" hidden="1">2</definedName>
    <definedName name="solver_num" localSheetId="2" hidden="1">2</definedName>
    <definedName name="solver_nwt" localSheetId="3" hidden="1">1</definedName>
    <definedName name="solver_nwt" localSheetId="1" hidden="1">1</definedName>
    <definedName name="solver_nwt" localSheetId="2" hidden="1">1</definedName>
    <definedName name="solver_opt" localSheetId="3" hidden="1">'Efficient Frontier'!$B$14</definedName>
    <definedName name="solver_opt" localSheetId="1" hidden="1">Optimization!$B$14</definedName>
    <definedName name="solver_opt" localSheetId="2" hidden="1">'Optimization (Mx)'!$B$14</definedName>
    <definedName name="solver_pre" localSheetId="3" hidden="1">0.000001</definedName>
    <definedName name="solver_pre" localSheetId="1" hidden="1">0.000001</definedName>
    <definedName name="solver_pre" localSheetId="2" hidden="1">0.000001</definedName>
    <definedName name="solver_rel1" localSheetId="3" hidden="1">3</definedName>
    <definedName name="solver_rel1" localSheetId="1" hidden="1">3</definedName>
    <definedName name="solver_rel1" localSheetId="2" hidden="1">3</definedName>
    <definedName name="solver_rel2" localSheetId="3" hidden="1">2</definedName>
    <definedName name="solver_rel2" localSheetId="1" hidden="1">2</definedName>
    <definedName name="solver_rel2" localSheetId="2" hidden="1">2</definedName>
    <definedName name="solver_rhs1" localSheetId="3" hidden="1">'Optimization (Mx)'!$D$17</definedName>
    <definedName name="solver_rhs1" localSheetId="1" hidden="1">Optimization!$D$17</definedName>
    <definedName name="solver_rhs1" localSheetId="2" hidden="1">'Optimization (Mx)'!$D$17</definedName>
    <definedName name="solver_rhs2" localSheetId="3" hidden="1">'Optimization (Mx)'!$D$18</definedName>
    <definedName name="solver_rhs2" localSheetId="1" hidden="1">Optimization!$D$18</definedName>
    <definedName name="solver_rhs2" localSheetId="2" hidden="1">'Optimization (Mx)'!$D$18</definedName>
    <definedName name="solver_scl" localSheetId="3" hidden="1">2</definedName>
    <definedName name="solver_scl" localSheetId="1" hidden="1">2</definedName>
    <definedName name="solver_scl" localSheetId="2" hidden="1">2</definedName>
    <definedName name="solver_sho" localSheetId="3" hidden="1">2</definedName>
    <definedName name="solver_sho" localSheetId="1" hidden="1">2</definedName>
    <definedName name="solver_sho" localSheetId="2" hidden="1">2</definedName>
    <definedName name="solver_tim" localSheetId="3" hidden="1">100</definedName>
    <definedName name="solver_tim" localSheetId="1" hidden="1">100</definedName>
    <definedName name="solver_tim" localSheetId="2" hidden="1">100</definedName>
    <definedName name="solver_tol" localSheetId="3" hidden="1">0.05</definedName>
    <definedName name="solver_tol" localSheetId="1" hidden="1">0.05</definedName>
    <definedName name="solver_tol" localSheetId="2" hidden="1">0.05</definedName>
    <definedName name="solver_typ" localSheetId="3" hidden="1">2</definedName>
    <definedName name="solver_typ" localSheetId="1" hidden="1">2</definedName>
    <definedName name="solver_typ" localSheetId="2" hidden="1">2</definedName>
    <definedName name="solver_val" localSheetId="3" hidden="1">0</definedName>
    <definedName name="solver_val" localSheetId="1" hidden="1">0</definedName>
    <definedName name="solver_val" localSheetId="2" hidden="1">0</definedName>
  </definedNames>
  <calcPr calcId="125725"/>
</workbook>
</file>

<file path=xl/calcChain.xml><?xml version="1.0" encoding="utf-8"?>
<calcChain xmlns="http://schemas.openxmlformats.org/spreadsheetml/2006/main">
  <c r="B14" i="4" a="1"/>
  <c r="B14" s="1"/>
  <c r="B17"/>
  <c r="C12"/>
  <c r="B12"/>
  <c r="H6"/>
  <c r="G7"/>
  <c r="G6"/>
  <c r="B17" i="2"/>
  <c r="E14"/>
  <c r="B14"/>
  <c r="E5"/>
  <c r="B18"/>
  <c r="H7" i="4"/>
  <c r="H2"/>
  <c r="G3"/>
  <c r="D17"/>
  <c r="B18"/>
  <c r="D17" i="2"/>
  <c r="E3" i="1"/>
  <c r="G3" s="1"/>
  <c r="E4"/>
  <c r="G4" s="1"/>
  <c r="E5"/>
  <c r="G5" s="1"/>
  <c r="E6"/>
  <c r="G6" s="1"/>
  <c r="E7"/>
  <c r="G7" s="1"/>
  <c r="E8"/>
  <c r="G8" s="1"/>
  <c r="E9"/>
  <c r="G9" s="1"/>
  <c r="E10"/>
  <c r="G10" s="1"/>
  <c r="E11"/>
  <c r="G11" s="1"/>
  <c r="E12"/>
  <c r="G12" s="1"/>
  <c r="E2"/>
  <c r="G2" s="1"/>
  <c r="D14" i="4" l="1" a="1"/>
  <c r="D14" s="1"/>
  <c r="F2" i="1"/>
  <c r="F11"/>
  <c r="F9"/>
  <c r="F7"/>
  <c r="F5"/>
  <c r="F3"/>
  <c r="F12"/>
  <c r="F10"/>
  <c r="F8"/>
  <c r="F6"/>
  <c r="F4"/>
</calcChain>
</file>

<file path=xl/comments1.xml><?xml version="1.0" encoding="utf-8"?>
<comments xmlns="http://schemas.openxmlformats.org/spreadsheetml/2006/main">
  <authors>
    <author>Babson College</author>
  </authors>
  <commentList>
    <comment ref="B14" authorId="0">
      <text>
        <r>
          <rPr>
            <b/>
            <sz val="8"/>
            <color indexed="81"/>
            <rFont val="Tahoma"/>
            <family val="2"/>
          </rPr>
          <t>Target cell for Solver</t>
        </r>
        <r>
          <rPr>
            <sz val="8"/>
            <color indexed="81"/>
            <rFont val="Tahoma"/>
            <family val="2"/>
          </rPr>
          <t xml:space="preserve">
</t>
        </r>
      </text>
    </comment>
    <comment ref="E14" authorId="0">
      <text>
        <r>
          <rPr>
            <b/>
            <sz val="8"/>
            <color indexed="81"/>
            <rFont val="Tahoma"/>
            <family val="2"/>
          </rPr>
          <t>Equivalent to cell B14, but using Covariance instead of Correlation</t>
        </r>
        <r>
          <rPr>
            <sz val="8"/>
            <color indexed="81"/>
            <rFont val="Tahoma"/>
            <family val="2"/>
          </rPr>
          <t xml:space="preserve">
</t>
        </r>
      </text>
    </comment>
  </commentList>
</comments>
</file>

<file path=xl/comments2.xml><?xml version="1.0" encoding="utf-8"?>
<comments xmlns="http://schemas.openxmlformats.org/spreadsheetml/2006/main">
  <authors>
    <author>Babson College</author>
  </authors>
  <commentList>
    <comment ref="B14" authorId="0">
      <text>
        <r>
          <rPr>
            <b/>
            <sz val="8"/>
            <color indexed="81"/>
            <rFont val="Tahoma"/>
            <family val="2"/>
          </rPr>
          <t>Target cell for Solver</t>
        </r>
        <r>
          <rPr>
            <sz val="8"/>
            <color indexed="81"/>
            <rFont val="Tahoma"/>
            <family val="2"/>
          </rPr>
          <t xml:space="preserve">
</t>
        </r>
      </text>
    </comment>
  </commentList>
</comments>
</file>

<file path=xl/sharedStrings.xml><?xml version="1.0" encoding="utf-8"?>
<sst xmlns="http://schemas.openxmlformats.org/spreadsheetml/2006/main" count="62" uniqueCount="36">
  <si>
    <t>Correlation</t>
  </si>
  <si>
    <t>Optimization problem formulation:</t>
  </si>
  <si>
    <t>Decision Variables</t>
  </si>
  <si>
    <t>Objective Function</t>
  </si>
  <si>
    <t>Constraints</t>
  </si>
  <si>
    <t>weights</t>
  </si>
  <si>
    <t>&gt;=</t>
  </si>
  <si>
    <t>Target return</t>
  </si>
  <si>
    <t>=</t>
  </si>
  <si>
    <t>Std Dev</t>
  </si>
  <si>
    <t>Portfolio Return</t>
  </si>
  <si>
    <t>Correlation matrix</t>
  </si>
  <si>
    <t>Covariance</t>
  </si>
  <si>
    <t>Covariance matrix</t>
  </si>
  <si>
    <t>weights*stdev</t>
  </si>
  <si>
    <t>Stock 1 Exp Return</t>
  </si>
  <si>
    <t>Stock 1 Std Dev</t>
  </si>
  <si>
    <t>Stock 2 Exp Return</t>
  </si>
  <si>
    <t>Stock 2 Std Dev</t>
  </si>
  <si>
    <t>Fraction in Stock 1</t>
  </si>
  <si>
    <t>Fraction in Stock 2</t>
  </si>
  <si>
    <t>Portfolio expected return</t>
  </si>
  <si>
    <t>Portfolio standard deviation</t>
  </si>
  <si>
    <t>Using correlation</t>
  </si>
  <si>
    <t>Using covariance</t>
  </si>
  <si>
    <t>Correlation coefficient</t>
  </si>
  <si>
    <t>Expected portfolio return</t>
  </si>
  <si>
    <t>Sum of weights</t>
  </si>
  <si>
    <t>Stock 1</t>
  </si>
  <si>
    <t>Stock 2</t>
  </si>
  <si>
    <t>Minimize portfolio variance</t>
  </si>
  <si>
    <t>Expected returns</t>
  </si>
  <si>
    <t>Standard deviations</t>
  </si>
  <si>
    <t>Minimum return</t>
  </si>
  <si>
    <t>Increment</t>
  </si>
  <si>
    <t>Iterations</t>
  </si>
</sst>
</file>

<file path=xl/styles.xml><?xml version="1.0" encoding="utf-8"?>
<styleSheet xmlns="http://schemas.openxmlformats.org/spreadsheetml/2006/main">
  <numFmts count="1">
    <numFmt numFmtId="164" formatCode="0.0"/>
  </numFmts>
  <fonts count="15">
    <font>
      <sz val="10"/>
      <name val="Arial"/>
    </font>
    <font>
      <sz val="8"/>
      <name val="Arial"/>
      <family val="2"/>
    </font>
    <font>
      <sz val="8"/>
      <color indexed="81"/>
      <name val="Tahoma"/>
      <family val="2"/>
    </font>
    <font>
      <b/>
      <sz val="8"/>
      <color indexed="81"/>
      <name val="Tahoma"/>
      <family val="2"/>
    </font>
    <font>
      <sz val="10"/>
      <name val="Calibri"/>
      <family val="2"/>
      <scheme val="minor"/>
    </font>
    <font>
      <b/>
      <sz val="10"/>
      <color indexed="10"/>
      <name val="Calibri"/>
      <family val="2"/>
      <scheme val="minor"/>
    </font>
    <font>
      <b/>
      <sz val="10"/>
      <name val="Calibri"/>
      <family val="2"/>
      <scheme val="minor"/>
    </font>
    <font>
      <sz val="10"/>
      <color indexed="10"/>
      <name val="Calibri"/>
      <family val="2"/>
      <scheme val="minor"/>
    </font>
    <font>
      <sz val="10"/>
      <color indexed="12"/>
      <name val="Calibri"/>
      <family val="2"/>
      <scheme val="minor"/>
    </font>
    <font>
      <b/>
      <sz val="10"/>
      <color indexed="59"/>
      <name val="Calibri"/>
      <family val="2"/>
      <scheme val="minor"/>
    </font>
    <font>
      <sz val="10"/>
      <color rgb="FFFF0000"/>
      <name val="Calibri"/>
      <family val="2"/>
      <scheme val="minor"/>
    </font>
    <font>
      <sz val="10"/>
      <color theme="4"/>
      <name val="Calibri"/>
      <family val="2"/>
      <scheme val="minor"/>
    </font>
    <font>
      <b/>
      <sz val="10"/>
      <color rgb="FFFF0000"/>
      <name val="Calibri"/>
      <family val="2"/>
      <scheme val="minor"/>
    </font>
    <font>
      <b/>
      <sz val="10"/>
      <color theme="4"/>
      <name val="Calibri"/>
      <family val="2"/>
      <scheme val="minor"/>
    </font>
    <font>
      <sz val="12"/>
      <name val="Calibri"/>
      <family val="2"/>
    </font>
  </fonts>
  <fills count="5">
    <fill>
      <patternFill patternType="none"/>
    </fill>
    <fill>
      <patternFill patternType="gray125"/>
    </fill>
    <fill>
      <patternFill patternType="solid">
        <fgColor indexed="13"/>
        <bgColor indexed="64"/>
      </patternFill>
    </fill>
    <fill>
      <patternFill patternType="solid">
        <fgColor theme="6"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4" fillId="0" borderId="0" xfId="0" applyFont="1"/>
    <xf numFmtId="0" fontId="5" fillId="0" borderId="0" xfId="0" applyFont="1"/>
    <xf numFmtId="0" fontId="6" fillId="0" borderId="0" xfId="0" applyFont="1"/>
    <xf numFmtId="0" fontId="6" fillId="0" borderId="0" xfId="0" applyFont="1" applyAlignment="1">
      <alignment horizontal="center" wrapText="1"/>
    </xf>
    <xf numFmtId="164" fontId="4" fillId="0" borderId="0" xfId="0" applyNumberFormat="1" applyFont="1"/>
    <xf numFmtId="0" fontId="7" fillId="0" borderId="0" xfId="0" applyFont="1"/>
    <xf numFmtId="0" fontId="8" fillId="0" borderId="0" xfId="0" applyFont="1"/>
    <xf numFmtId="0" fontId="9" fillId="0" borderId="0" xfId="0" applyFont="1"/>
    <xf numFmtId="0" fontId="4" fillId="0" borderId="0" xfId="0" quotePrefix="1" applyFont="1"/>
    <xf numFmtId="2" fontId="4" fillId="2" borderId="1" xfId="0" applyNumberFormat="1" applyFont="1" applyFill="1" applyBorder="1"/>
    <xf numFmtId="2" fontId="4" fillId="4" borderId="1" xfId="0" applyNumberFormat="1" applyFont="1" applyFill="1" applyBorder="1"/>
    <xf numFmtId="0" fontId="10" fillId="0" borderId="0" xfId="0" applyFont="1"/>
    <xf numFmtId="0" fontId="11" fillId="0" borderId="0" xfId="0" applyFont="1"/>
    <xf numFmtId="0" fontId="12" fillId="0" borderId="0" xfId="0" applyFont="1"/>
    <xf numFmtId="0" fontId="13" fillId="0" borderId="0" xfId="0" applyFont="1"/>
    <xf numFmtId="2" fontId="4" fillId="3" borderId="1" xfId="0" applyNumberFormat="1" applyFont="1" applyFill="1" applyBorder="1"/>
    <xf numFmtId="2" fontId="4" fillId="0" borderId="0" xfId="0" applyNumberFormat="1" applyFont="1"/>
    <xf numFmtId="2" fontId="12" fillId="0" borderId="0" xfId="0" applyNumberFormat="1" applyFont="1"/>
    <xf numFmtId="2" fontId="13" fillId="0" borderId="0" xfId="0" applyNumberFormat="1" applyFont="1"/>
    <xf numFmtId="2" fontId="6" fillId="0" borderId="0" xfId="0" applyNumberFormat="1" applyFont="1"/>
    <xf numFmtId="2" fontId="10" fillId="0" borderId="0" xfId="0" applyNumberFormat="1" applyFont="1"/>
    <xf numFmtId="2" fontId="11" fillId="0" borderId="0" xfId="0" applyNumberFormat="1" applyFont="1"/>
  </cellXfs>
  <cellStyles count="1">
    <cellStyle name="Normal" xfId="0" builtinId="0"/>
  </cellStyles>
  <dxfs count="0"/>
  <tableStyles count="0" defaultTableStyle="TableStyleMedium9" defaultPivotStyle="PivotStyleLight16"/>
  <colors>
    <mruColors>
      <color rgb="FFCCFFCC"/>
    </mruColors>
  </colors>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125" b="1" i="0" u="none" strike="noStrike" baseline="0">
                <a:solidFill>
                  <a:srgbClr val="000000"/>
                </a:solidFill>
                <a:latin typeface="Arial"/>
                <a:ea typeface="Arial"/>
                <a:cs typeface="Arial"/>
              </a:defRPr>
            </a:pPr>
            <a:r>
              <a:rPr lang="en-US">
                <a:latin typeface="+mn-lt"/>
              </a:rPr>
              <a:t>Portfolio Risk and Expected Return </a:t>
            </a:r>
          </a:p>
        </c:rich>
      </c:tx>
      <c:layout>
        <c:manualLayout>
          <c:xMode val="edge"/>
          <c:yMode val="edge"/>
          <c:x val="0.32239836819040346"/>
          <c:y val="3.9408866995073892E-2"/>
        </c:manualLayout>
      </c:layout>
      <c:spPr>
        <a:noFill/>
        <a:ln w="25400">
          <a:noFill/>
        </a:ln>
      </c:spPr>
    </c:title>
    <c:plotArea>
      <c:layout>
        <c:manualLayout>
          <c:layoutTarget val="inner"/>
          <c:xMode val="edge"/>
          <c:yMode val="edge"/>
          <c:x val="0.10633492973080159"/>
          <c:y val="0.22660125774666351"/>
          <c:w val="0.85520432847325545"/>
          <c:h val="0.5344834014241957"/>
        </c:manualLayout>
      </c:layout>
      <c:scatterChart>
        <c:scatterStyle val="smoothMarker"/>
        <c:ser>
          <c:idx val="0"/>
          <c:order val="0"/>
          <c:tx>
            <c:strRef>
              <c:f>Diversification!$G$1</c:f>
              <c:strCache>
                <c:ptCount val="1"/>
                <c:pt idx="0">
                  <c:v>Portfolio standard deviation</c:v>
                </c:pt>
              </c:strCache>
            </c:strRef>
          </c:tx>
          <c:spPr>
            <a:ln w="38100">
              <a:solidFill>
                <a:srgbClr val="FF0000"/>
              </a:solidFill>
              <a:prstDash val="solid"/>
            </a:ln>
          </c:spPr>
          <c:marker>
            <c:symbol val="none"/>
          </c:marker>
          <c:xVal>
            <c:numRef>
              <c:f>Diversification!$G$2:$G$12</c:f>
              <c:numCache>
                <c:formatCode>0.0</c:formatCode>
                <c:ptCount val="11"/>
                <c:pt idx="0">
                  <c:v>15.8</c:v>
                </c:pt>
                <c:pt idx="1">
                  <c:v>13.950167740926988</c:v>
                </c:pt>
                <c:pt idx="2">
                  <c:v>12.341244669805395</c:v>
                </c:pt>
                <c:pt idx="3">
                  <c:v>11.078692161081108</c:v>
                </c:pt>
                <c:pt idx="4">
                  <c:v>10.290795887588093</c:v>
                </c:pt>
                <c:pt idx="5">
                  <c:v>10.08937560010529</c:v>
                </c:pt>
                <c:pt idx="6">
                  <c:v>10.508210123517706</c:v>
                </c:pt>
                <c:pt idx="7">
                  <c:v>11.479608878354696</c:v>
                </c:pt>
                <c:pt idx="8">
                  <c:v>12.879142828620235</c:v>
                </c:pt>
                <c:pt idx="9">
                  <c:v>14.584072819346453</c:v>
                </c:pt>
                <c:pt idx="10">
                  <c:v>16.5</c:v>
                </c:pt>
              </c:numCache>
            </c:numRef>
          </c:xVal>
          <c:yVal>
            <c:numRef>
              <c:f>Diversification!$F$2:$F$12</c:f>
              <c:numCache>
                <c:formatCode>0.0</c:formatCode>
                <c:ptCount val="11"/>
                <c:pt idx="0">
                  <c:v>12.1</c:v>
                </c:pt>
                <c:pt idx="1">
                  <c:v>11.8</c:v>
                </c:pt>
                <c:pt idx="2">
                  <c:v>11.5</c:v>
                </c:pt>
                <c:pt idx="3">
                  <c:v>11.2</c:v>
                </c:pt>
                <c:pt idx="4">
                  <c:v>10.9</c:v>
                </c:pt>
                <c:pt idx="5">
                  <c:v>10.6</c:v>
                </c:pt>
                <c:pt idx="6">
                  <c:v>10.3</c:v>
                </c:pt>
                <c:pt idx="7">
                  <c:v>10</c:v>
                </c:pt>
                <c:pt idx="8">
                  <c:v>9.6999999999999993</c:v>
                </c:pt>
                <c:pt idx="9">
                  <c:v>9.3999999999999986</c:v>
                </c:pt>
                <c:pt idx="10">
                  <c:v>9.1</c:v>
                </c:pt>
              </c:numCache>
            </c:numRef>
          </c:yVal>
          <c:smooth val="1"/>
        </c:ser>
        <c:axId val="151357312"/>
        <c:axId val="151495808"/>
      </c:scatterChart>
      <c:valAx>
        <c:axId val="151357312"/>
        <c:scaling>
          <c:orientation val="minMax"/>
          <c:max val="17"/>
          <c:min val="9"/>
        </c:scaling>
        <c:axPos val="b"/>
        <c:title>
          <c:tx>
            <c:rich>
              <a:bodyPr/>
              <a:lstStyle/>
              <a:p>
                <a:pPr>
                  <a:defRPr sz="950" b="1" i="0" u="none" strike="noStrike" baseline="0">
                    <a:solidFill>
                      <a:srgbClr val="000000"/>
                    </a:solidFill>
                    <a:latin typeface="Arial"/>
                    <a:ea typeface="Arial"/>
                    <a:cs typeface="Arial"/>
                  </a:defRPr>
                </a:pPr>
                <a:r>
                  <a:rPr lang="en-US">
                    <a:latin typeface="+mn-lt"/>
                  </a:rPr>
                  <a:t>Standard deviation (%)</a:t>
                </a:r>
              </a:p>
            </c:rich>
          </c:tx>
          <c:layout>
            <c:manualLayout>
              <c:xMode val="edge"/>
              <c:yMode val="edge"/>
              <c:x val="0.41176504704267852"/>
              <c:y val="0.8694591737453502"/>
            </c:manualLayout>
          </c:layout>
          <c:spPr>
            <a:noFill/>
            <a:ln w="25400">
              <a:noFill/>
            </a:ln>
          </c:spPr>
        </c:title>
        <c:numFmt formatCode="0.0" sourceLinked="1"/>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1495808"/>
        <c:crosses val="autoZero"/>
        <c:crossBetween val="midCat"/>
      </c:valAx>
      <c:valAx>
        <c:axId val="151495808"/>
        <c:scaling>
          <c:orientation val="minMax"/>
          <c:min val="7"/>
        </c:scaling>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latin typeface="+mn-lt"/>
                  </a:rPr>
                  <a:t>Expected r</a:t>
                </a:r>
                <a:r>
                  <a:rPr lang="en-US" b="0">
                    <a:latin typeface="+mn-lt"/>
                  </a:rPr>
                  <a:t>eturn</a:t>
                </a:r>
                <a:r>
                  <a:rPr lang="en-US">
                    <a:latin typeface="+mn-lt"/>
                  </a:rPr>
                  <a:t> (%)</a:t>
                </a:r>
              </a:p>
            </c:rich>
          </c:tx>
          <c:layout>
            <c:manualLayout>
              <c:xMode val="edge"/>
              <c:yMode val="edge"/>
              <c:x val="2.4886898447634451E-2"/>
              <c:y val="0.24137960064318487"/>
            </c:manualLayout>
          </c:layout>
          <c:spPr>
            <a:noFill/>
            <a:ln w="25400">
              <a:noFill/>
            </a:ln>
          </c:spPr>
        </c:title>
        <c:numFmt formatCode="0.0" sourceLinked="1"/>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1357312"/>
        <c:crosses val="autoZero"/>
        <c:crossBetween val="midCat"/>
      </c:valAx>
      <c:spPr>
        <a:solidFill>
          <a:srgbClr val="FFFFFF"/>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2" r="0.750000000000002"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scatterChart>
        <c:scatterStyle val="smoothMarker"/>
        <c:ser>
          <c:idx val="0"/>
          <c:order val="0"/>
          <c:tx>
            <c:strRef>
              <c:f>Diversification!$F$1</c:f>
              <c:strCache>
                <c:ptCount val="1"/>
                <c:pt idx="0">
                  <c:v>Portfolio expected return</c:v>
                </c:pt>
              </c:strCache>
            </c:strRef>
          </c:tx>
          <c:marker>
            <c:symbol val="none"/>
          </c:marker>
          <c:xVal>
            <c:numRef>
              <c:f>Diversification!$D$2:$D$12</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Diversification!$F$2:$F$12</c:f>
              <c:numCache>
                <c:formatCode>0.0</c:formatCode>
                <c:ptCount val="11"/>
                <c:pt idx="0">
                  <c:v>12.1</c:v>
                </c:pt>
                <c:pt idx="1">
                  <c:v>11.8</c:v>
                </c:pt>
                <c:pt idx="2">
                  <c:v>11.5</c:v>
                </c:pt>
                <c:pt idx="3">
                  <c:v>11.2</c:v>
                </c:pt>
                <c:pt idx="4">
                  <c:v>10.9</c:v>
                </c:pt>
                <c:pt idx="5">
                  <c:v>10.6</c:v>
                </c:pt>
                <c:pt idx="6">
                  <c:v>10.3</c:v>
                </c:pt>
                <c:pt idx="7">
                  <c:v>10</c:v>
                </c:pt>
                <c:pt idx="8">
                  <c:v>9.6999999999999993</c:v>
                </c:pt>
                <c:pt idx="9">
                  <c:v>9.3999999999999986</c:v>
                </c:pt>
                <c:pt idx="10">
                  <c:v>9.1</c:v>
                </c:pt>
              </c:numCache>
            </c:numRef>
          </c:yVal>
          <c:smooth val="1"/>
        </c:ser>
        <c:axId val="163898112"/>
        <c:axId val="163900416"/>
      </c:scatterChart>
      <c:valAx>
        <c:axId val="163898112"/>
        <c:scaling>
          <c:orientation val="minMax"/>
          <c:max val="1"/>
          <c:min val="0"/>
        </c:scaling>
        <c:axPos val="b"/>
        <c:title>
          <c:tx>
            <c:rich>
              <a:bodyPr/>
              <a:lstStyle/>
              <a:p>
                <a:pPr>
                  <a:defRPr/>
                </a:pPr>
                <a:r>
                  <a:rPr lang="en-US"/>
                  <a:t>Fraction</a:t>
                </a:r>
                <a:r>
                  <a:rPr lang="en-US" baseline="0"/>
                  <a:t> invested in Stock 1</a:t>
                </a:r>
                <a:endParaRPr lang="en-US"/>
              </a:p>
            </c:rich>
          </c:tx>
          <c:layout/>
        </c:title>
        <c:numFmt formatCode="General" sourceLinked="1"/>
        <c:majorTickMark val="none"/>
        <c:tickLblPos val="nextTo"/>
        <c:crossAx val="163900416"/>
        <c:crosses val="autoZero"/>
        <c:crossBetween val="midCat"/>
      </c:valAx>
      <c:valAx>
        <c:axId val="163900416"/>
        <c:scaling>
          <c:orientation val="minMax"/>
        </c:scaling>
        <c:axPos val="l"/>
        <c:majorGridlines/>
        <c:title>
          <c:tx>
            <c:rich>
              <a:bodyPr/>
              <a:lstStyle/>
              <a:p>
                <a:pPr>
                  <a:defRPr/>
                </a:pPr>
                <a:r>
                  <a:rPr lang="en-US"/>
                  <a:t>Portfolio expected</a:t>
                </a:r>
                <a:r>
                  <a:rPr lang="en-US" baseline="0"/>
                  <a:t> return (%)</a:t>
                </a:r>
                <a:endParaRPr lang="en-US"/>
              </a:p>
            </c:rich>
          </c:tx>
          <c:layout/>
        </c:title>
        <c:numFmt formatCode="0.0" sourceLinked="1"/>
        <c:majorTickMark val="none"/>
        <c:tickLblPos val="nextTo"/>
        <c:crossAx val="163898112"/>
        <c:crosses val="autoZero"/>
        <c:crossBetween val="midCat"/>
      </c:valAx>
    </c:plotArea>
    <c:plotVisOnly val="1"/>
  </c:chart>
  <c:spPr>
    <a:ln>
      <a:noFill/>
    </a:ln>
  </c:spPr>
  <c:printSettings>
    <c:headerFooter/>
    <c:pageMargins b="0.75000000000000178" l="0.70000000000000062" r="0.70000000000000062" t="0.7500000000000017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scatterChart>
        <c:scatterStyle val="smoothMarker"/>
        <c:ser>
          <c:idx val="0"/>
          <c:order val="0"/>
          <c:tx>
            <c:strRef>
              <c:f>Diversification!$G$1</c:f>
              <c:strCache>
                <c:ptCount val="1"/>
                <c:pt idx="0">
                  <c:v>Portfolio standard deviation</c:v>
                </c:pt>
              </c:strCache>
            </c:strRef>
          </c:tx>
          <c:marker>
            <c:symbol val="none"/>
          </c:marker>
          <c:xVal>
            <c:numRef>
              <c:f>Diversification!$D$2:$D$12</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xVal>
          <c:yVal>
            <c:numRef>
              <c:f>Diversification!$G$2:$G$12</c:f>
              <c:numCache>
                <c:formatCode>0.0</c:formatCode>
                <c:ptCount val="11"/>
                <c:pt idx="0">
                  <c:v>15.8</c:v>
                </c:pt>
                <c:pt idx="1">
                  <c:v>13.950167740926988</c:v>
                </c:pt>
                <c:pt idx="2">
                  <c:v>12.341244669805395</c:v>
                </c:pt>
                <c:pt idx="3">
                  <c:v>11.078692161081108</c:v>
                </c:pt>
                <c:pt idx="4">
                  <c:v>10.290795887588093</c:v>
                </c:pt>
                <c:pt idx="5">
                  <c:v>10.08937560010529</c:v>
                </c:pt>
                <c:pt idx="6">
                  <c:v>10.508210123517706</c:v>
                </c:pt>
                <c:pt idx="7">
                  <c:v>11.479608878354696</c:v>
                </c:pt>
                <c:pt idx="8">
                  <c:v>12.879142828620235</c:v>
                </c:pt>
                <c:pt idx="9">
                  <c:v>14.584072819346453</c:v>
                </c:pt>
                <c:pt idx="10">
                  <c:v>16.5</c:v>
                </c:pt>
              </c:numCache>
            </c:numRef>
          </c:yVal>
          <c:smooth val="1"/>
        </c:ser>
        <c:axId val="151542400"/>
        <c:axId val="155869952"/>
      </c:scatterChart>
      <c:valAx>
        <c:axId val="151542400"/>
        <c:scaling>
          <c:orientation val="minMax"/>
          <c:max val="1"/>
          <c:min val="0"/>
        </c:scaling>
        <c:axPos val="b"/>
        <c:title>
          <c:tx>
            <c:rich>
              <a:bodyPr/>
              <a:lstStyle/>
              <a:p>
                <a:pPr>
                  <a:defRPr/>
                </a:pPr>
                <a:r>
                  <a:rPr lang="en-US"/>
                  <a:t>Fraction invested in Stock 1</a:t>
                </a:r>
              </a:p>
            </c:rich>
          </c:tx>
          <c:layout/>
        </c:title>
        <c:numFmt formatCode="General" sourceLinked="1"/>
        <c:majorTickMark val="none"/>
        <c:tickLblPos val="nextTo"/>
        <c:crossAx val="155869952"/>
        <c:crosses val="autoZero"/>
        <c:crossBetween val="midCat"/>
      </c:valAx>
      <c:valAx>
        <c:axId val="155869952"/>
        <c:scaling>
          <c:orientation val="minMax"/>
        </c:scaling>
        <c:axPos val="l"/>
        <c:majorGridlines/>
        <c:title>
          <c:tx>
            <c:rich>
              <a:bodyPr/>
              <a:lstStyle/>
              <a:p>
                <a:pPr>
                  <a:defRPr/>
                </a:pPr>
                <a:r>
                  <a:rPr lang="en-US"/>
                  <a:t>Portfolio standard</a:t>
                </a:r>
                <a:r>
                  <a:rPr lang="en-US" baseline="0"/>
                  <a:t> deviation (%)</a:t>
                </a:r>
                <a:endParaRPr lang="en-US"/>
              </a:p>
            </c:rich>
          </c:tx>
          <c:layout>
            <c:manualLayout>
              <c:xMode val="edge"/>
              <c:yMode val="edge"/>
              <c:x val="2.777777777777795E-2"/>
              <c:y val="9.7581291921843102E-2"/>
            </c:manualLayout>
          </c:layout>
        </c:title>
        <c:numFmt formatCode="0.0" sourceLinked="1"/>
        <c:majorTickMark val="none"/>
        <c:tickLblPos val="nextTo"/>
        <c:crossAx val="151542400"/>
        <c:crosses val="autoZero"/>
        <c:crossBetween val="midCat"/>
      </c:valAx>
    </c:plotArea>
    <c:plotVisOnly val="1"/>
  </c:chart>
  <c:spPr>
    <a:ln>
      <a:noFill/>
    </a:ln>
  </c:spPr>
  <c:printSettings>
    <c:headerFooter/>
    <c:pageMargins b="0.75000000000000178" l="0.70000000000000062" r="0.70000000000000062" t="0.75000000000000178"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125" b="1" i="0" u="none" strike="noStrike" baseline="0">
                <a:solidFill>
                  <a:srgbClr val="000000"/>
                </a:solidFill>
                <a:latin typeface="Arial"/>
                <a:ea typeface="Arial"/>
                <a:cs typeface="Arial"/>
              </a:defRPr>
            </a:pPr>
            <a:r>
              <a:rPr lang="en-US"/>
              <a:t>Portfolio Efficient Frontier</a:t>
            </a:r>
          </a:p>
        </c:rich>
      </c:tx>
      <c:layout>
        <c:manualLayout>
          <c:xMode val="edge"/>
          <c:yMode val="edge"/>
          <c:x val="0.31598579927484011"/>
          <c:y val="3.9603960396039611E-2"/>
        </c:manualLayout>
      </c:layout>
      <c:spPr>
        <a:noFill/>
        <a:ln w="25400">
          <a:noFill/>
        </a:ln>
      </c:spPr>
    </c:title>
    <c:plotArea>
      <c:layout>
        <c:manualLayout>
          <c:layoutTarget val="inner"/>
          <c:xMode val="edge"/>
          <c:yMode val="edge"/>
          <c:x val="0.1363075996871847"/>
          <c:y val="0.22772277227722773"/>
          <c:w val="0.82156307811457763"/>
          <c:h val="0.53217821782178265"/>
        </c:manualLayout>
      </c:layout>
      <c:scatterChart>
        <c:scatterStyle val="smoothMarker"/>
        <c:ser>
          <c:idx val="0"/>
          <c:order val="0"/>
          <c:tx>
            <c:strRef>
              <c:f>'Efficient Frontier'!$B$1</c:f>
              <c:strCache>
                <c:ptCount val="1"/>
                <c:pt idx="0">
                  <c:v>Portfolio Return</c:v>
                </c:pt>
              </c:strCache>
            </c:strRef>
          </c:tx>
          <c:spPr>
            <a:ln w="38100">
              <a:solidFill>
                <a:srgbClr val="FF0000"/>
              </a:solidFill>
              <a:prstDash val="solid"/>
            </a:ln>
          </c:spPr>
          <c:marker>
            <c:symbol val="none"/>
          </c:marker>
          <c:xVal>
            <c:numRef>
              <c:f>'Efficient Frontier'!$A$2:$A$11</c:f>
              <c:numCache>
                <c:formatCode>General</c:formatCode>
                <c:ptCount val="10"/>
              </c:numCache>
            </c:numRef>
          </c:xVal>
          <c:yVal>
            <c:numRef>
              <c:f>'Efficient Frontier'!$B$2:$B$11</c:f>
              <c:numCache>
                <c:formatCode>General</c:formatCode>
                <c:ptCount val="10"/>
              </c:numCache>
            </c:numRef>
          </c:yVal>
          <c:smooth val="1"/>
        </c:ser>
        <c:axId val="177432064"/>
        <c:axId val="177433984"/>
      </c:scatterChart>
      <c:valAx>
        <c:axId val="177432064"/>
        <c:scaling>
          <c:orientation val="minMax"/>
          <c:max val="14"/>
          <c:min val="10"/>
        </c:scaling>
        <c:axPos val="b"/>
        <c:title>
          <c:tx>
            <c:rich>
              <a:bodyPr/>
              <a:lstStyle/>
              <a:p>
                <a:pPr>
                  <a:defRPr sz="950" b="1" i="0" u="none" strike="noStrike" baseline="0">
                    <a:solidFill>
                      <a:srgbClr val="000000"/>
                    </a:solidFill>
                    <a:latin typeface="Arial"/>
                    <a:ea typeface="Arial"/>
                    <a:cs typeface="Arial"/>
                  </a:defRPr>
                </a:pPr>
                <a:r>
                  <a:rPr lang="en-US"/>
                  <a:t>Standard Deviation</a:t>
                </a:r>
              </a:p>
            </c:rich>
          </c:tx>
          <c:layout>
            <c:manualLayout>
              <c:xMode val="edge"/>
              <c:yMode val="edge"/>
              <c:x val="0.43370599900468026"/>
              <c:y val="0.86881188118812114"/>
            </c:manualLayout>
          </c:layout>
          <c:spPr>
            <a:noFill/>
            <a:ln w="25400">
              <a:noFill/>
            </a:ln>
          </c:spPr>
        </c:title>
        <c:numFmt formatCode="General" sourceLinked="1"/>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77433984"/>
        <c:crosses val="autoZero"/>
        <c:crossBetween val="midCat"/>
      </c:valAx>
      <c:valAx>
        <c:axId val="177433984"/>
        <c:scaling>
          <c:orientation val="minMax"/>
          <c:max val="11.9"/>
          <c:min val="10.700000000000001"/>
        </c:scaling>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Expected Return</a:t>
                </a:r>
              </a:p>
            </c:rich>
          </c:tx>
          <c:layout>
            <c:manualLayout>
              <c:xMode val="edge"/>
              <c:yMode val="edge"/>
              <c:x val="2.7261519937436942E-2"/>
              <c:y val="0.29455445544554482"/>
            </c:manualLayout>
          </c:layout>
          <c:spPr>
            <a:noFill/>
            <a:ln w="25400">
              <a:noFill/>
            </a:ln>
          </c:spPr>
        </c:title>
        <c:numFmt formatCode="General" sourceLinked="1"/>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77432064"/>
        <c:crosses val="autoZero"/>
        <c:crossBetween val="midCat"/>
      </c:valAx>
      <c:spPr>
        <a:solidFill>
          <a:srgbClr val="FFFFFF"/>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2" r="0.750000000000002" t="1"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825500</xdr:colOff>
      <xdr:row>16</xdr:row>
      <xdr:rowOff>120650</xdr:rowOff>
    </xdr:from>
    <xdr:to>
      <xdr:col>6</xdr:col>
      <xdr:colOff>317500</xdr:colOff>
      <xdr:row>33</xdr:row>
      <xdr:rowOff>0</xdr:rowOff>
    </xdr:to>
    <xdr:graphicFrame macro="">
      <xdr:nvGraphicFramePr>
        <xdr:cNvPr id="102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393700</xdr:colOff>
      <xdr:row>0</xdr:row>
      <xdr:rowOff>152400</xdr:rowOff>
    </xdr:from>
    <xdr:to>
      <xdr:col>15</xdr:col>
      <xdr:colOff>88900</xdr:colOff>
      <xdr:row>15</xdr:row>
      <xdr:rowOff>88900</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234950</xdr:colOff>
      <xdr:row>16</xdr:row>
      <xdr:rowOff>38100</xdr:rowOff>
    </xdr:from>
    <xdr:to>
      <xdr:col>14</xdr:col>
      <xdr:colOff>539750</xdr:colOff>
      <xdr:row>33</xdr:row>
      <xdr:rowOff>82550</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368300</xdr:colOff>
      <xdr:row>0</xdr:row>
      <xdr:rowOff>76200</xdr:rowOff>
    </xdr:from>
    <xdr:to>
      <xdr:col>11</xdr:col>
      <xdr:colOff>6350</xdr:colOff>
      <xdr:row>16</xdr:row>
      <xdr:rowOff>101600</xdr:rowOff>
    </xdr:to>
    <xdr:graphicFrame macro="">
      <xdr:nvGraphicFramePr>
        <xdr:cNvPr id="307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H16"/>
  <sheetViews>
    <sheetView tabSelected="1" zoomScaleNormal="100" workbookViewId="0">
      <selection activeCell="B14" sqref="B14"/>
    </sheetView>
  </sheetViews>
  <sheetFormatPr defaultRowHeight="12.5"/>
  <cols>
    <col min="1" max="1" width="17.54296875" customWidth="1"/>
    <col min="4" max="4" width="9.453125" customWidth="1"/>
    <col min="5" max="5" width="9.26953125" customWidth="1"/>
    <col min="6" max="6" width="10.54296875" customWidth="1"/>
    <col min="7" max="7" width="8.54296875" customWidth="1"/>
  </cols>
  <sheetData>
    <row r="1" spans="1:8" ht="39">
      <c r="A1" s="1"/>
      <c r="B1" s="1"/>
      <c r="C1" s="1"/>
      <c r="D1" s="4" t="s">
        <v>19</v>
      </c>
      <c r="E1" s="4" t="s">
        <v>20</v>
      </c>
      <c r="F1" s="4" t="s">
        <v>21</v>
      </c>
      <c r="G1" s="4" t="s">
        <v>22</v>
      </c>
      <c r="H1" s="1"/>
    </row>
    <row r="2" spans="1:8" ht="13">
      <c r="A2" s="14" t="s">
        <v>15</v>
      </c>
      <c r="B2" s="18">
        <v>9.1</v>
      </c>
      <c r="C2" s="1"/>
      <c r="D2" s="1">
        <v>0</v>
      </c>
      <c r="E2" s="1">
        <f>1-D2</f>
        <v>1</v>
      </c>
      <c r="F2" s="5">
        <f>D2*$B$2+E2*$B$4</f>
        <v>12.1</v>
      </c>
      <c r="G2" s="5">
        <f>SQRT(($B$3^2)*(D2^2)+($B$5^2)*(E2^2)+2*D2*E2*$B$3*$B$5*$B$6)</f>
        <v>15.8</v>
      </c>
      <c r="H2" s="1"/>
    </row>
    <row r="3" spans="1:8" ht="13">
      <c r="A3" s="15" t="s">
        <v>16</v>
      </c>
      <c r="B3" s="19">
        <v>16.5</v>
      </c>
      <c r="C3" s="1"/>
      <c r="D3" s="1">
        <v>0.1</v>
      </c>
      <c r="E3" s="1">
        <f t="shared" ref="E3:E12" si="0">1-D3</f>
        <v>0.9</v>
      </c>
      <c r="F3" s="5">
        <f t="shared" ref="F3:F12" si="1">D3*$B$2+E3*$B$4</f>
        <v>11.8</v>
      </c>
      <c r="G3" s="5">
        <f t="shared" ref="G3:G12" si="2">SQRT(($B$3^2)*(D3^2)+($B$5^2)*(E3^2)+2*D3*E3*$B$3*$B$5*$B$6)</f>
        <v>13.950167740926988</v>
      </c>
      <c r="H3" s="1"/>
    </row>
    <row r="4" spans="1:8" ht="13">
      <c r="A4" s="14" t="s">
        <v>17</v>
      </c>
      <c r="B4" s="18">
        <v>12.1</v>
      </c>
      <c r="C4" s="1"/>
      <c r="D4" s="1">
        <v>0.2</v>
      </c>
      <c r="E4" s="1">
        <f t="shared" si="0"/>
        <v>0.8</v>
      </c>
      <c r="F4" s="5">
        <f t="shared" si="1"/>
        <v>11.5</v>
      </c>
      <c r="G4" s="5">
        <f t="shared" si="2"/>
        <v>12.341244669805395</v>
      </c>
      <c r="H4" s="1"/>
    </row>
    <row r="5" spans="1:8" ht="13">
      <c r="A5" s="15" t="s">
        <v>18</v>
      </c>
      <c r="B5" s="19">
        <v>15.8</v>
      </c>
      <c r="C5" s="1"/>
      <c r="D5" s="1">
        <v>0.3</v>
      </c>
      <c r="E5" s="1">
        <f t="shared" si="0"/>
        <v>0.7</v>
      </c>
      <c r="F5" s="5">
        <f t="shared" si="1"/>
        <v>11.2</v>
      </c>
      <c r="G5" s="5">
        <f t="shared" si="2"/>
        <v>11.078692161081108</v>
      </c>
      <c r="H5" s="1"/>
    </row>
    <row r="6" spans="1:8" ht="13">
      <c r="A6" s="3" t="s">
        <v>0</v>
      </c>
      <c r="B6" s="20">
        <v>-0.22</v>
      </c>
      <c r="C6" s="1"/>
      <c r="D6" s="1">
        <v>0.4</v>
      </c>
      <c r="E6" s="1">
        <f t="shared" si="0"/>
        <v>0.6</v>
      </c>
      <c r="F6" s="5">
        <f t="shared" si="1"/>
        <v>10.9</v>
      </c>
      <c r="G6" s="5">
        <f t="shared" si="2"/>
        <v>10.290795887588093</v>
      </c>
      <c r="H6" s="1"/>
    </row>
    <row r="7" spans="1:8" ht="13">
      <c r="A7" s="1"/>
      <c r="B7" s="1"/>
      <c r="C7" s="1"/>
      <c r="D7" s="1">
        <v>0.5</v>
      </c>
      <c r="E7" s="1">
        <f t="shared" si="0"/>
        <v>0.5</v>
      </c>
      <c r="F7" s="5">
        <f t="shared" si="1"/>
        <v>10.6</v>
      </c>
      <c r="G7" s="5">
        <f t="shared" si="2"/>
        <v>10.08937560010529</v>
      </c>
      <c r="H7" s="1"/>
    </row>
    <row r="8" spans="1:8" ht="13">
      <c r="A8" s="1"/>
      <c r="B8" s="1"/>
      <c r="C8" s="1"/>
      <c r="D8" s="1">
        <v>0.6</v>
      </c>
      <c r="E8" s="1">
        <f t="shared" si="0"/>
        <v>0.4</v>
      </c>
      <c r="F8" s="5">
        <f t="shared" si="1"/>
        <v>10.3</v>
      </c>
      <c r="G8" s="5">
        <f t="shared" si="2"/>
        <v>10.508210123517706</v>
      </c>
      <c r="H8" s="1"/>
    </row>
    <row r="9" spans="1:8" ht="13">
      <c r="A9" s="1"/>
      <c r="B9" s="1"/>
      <c r="C9" s="1"/>
      <c r="D9" s="1">
        <v>0.7</v>
      </c>
      <c r="E9" s="1">
        <f t="shared" si="0"/>
        <v>0.30000000000000004</v>
      </c>
      <c r="F9" s="5">
        <f t="shared" si="1"/>
        <v>10</v>
      </c>
      <c r="G9" s="5">
        <f t="shared" si="2"/>
        <v>11.479608878354696</v>
      </c>
      <c r="H9" s="1"/>
    </row>
    <row r="10" spans="1:8" ht="13">
      <c r="A10" s="1"/>
      <c r="B10" s="1"/>
      <c r="C10" s="1"/>
      <c r="D10" s="1">
        <v>0.8</v>
      </c>
      <c r="E10" s="1">
        <f t="shared" si="0"/>
        <v>0.19999999999999996</v>
      </c>
      <c r="F10" s="5">
        <f t="shared" si="1"/>
        <v>9.6999999999999993</v>
      </c>
      <c r="G10" s="5">
        <f t="shared" si="2"/>
        <v>12.879142828620235</v>
      </c>
      <c r="H10" s="1"/>
    </row>
    <row r="11" spans="1:8" ht="13">
      <c r="A11" s="1"/>
      <c r="B11" s="1"/>
      <c r="C11" s="1"/>
      <c r="D11" s="1">
        <v>0.9</v>
      </c>
      <c r="E11" s="1">
        <f t="shared" si="0"/>
        <v>9.9999999999999978E-2</v>
      </c>
      <c r="F11" s="5">
        <f t="shared" si="1"/>
        <v>9.3999999999999986</v>
      </c>
      <c r="G11" s="5">
        <f t="shared" si="2"/>
        <v>14.584072819346453</v>
      </c>
      <c r="H11" s="1"/>
    </row>
    <row r="12" spans="1:8" ht="13">
      <c r="A12" s="1"/>
      <c r="B12" s="1"/>
      <c r="C12" s="1"/>
      <c r="D12" s="1">
        <v>1</v>
      </c>
      <c r="E12" s="1">
        <f t="shared" si="0"/>
        <v>0</v>
      </c>
      <c r="F12" s="5">
        <f t="shared" si="1"/>
        <v>9.1</v>
      </c>
      <c r="G12" s="5">
        <f t="shared" si="2"/>
        <v>16.5</v>
      </c>
      <c r="H12" s="1"/>
    </row>
    <row r="13" spans="1:8" ht="13">
      <c r="A13" s="1"/>
      <c r="B13" s="1"/>
      <c r="C13" s="1"/>
      <c r="H13" s="1"/>
    </row>
    <row r="14" spans="1:8" ht="13">
      <c r="A14" s="1"/>
      <c r="B14" s="1"/>
      <c r="C14" s="1"/>
      <c r="D14" s="1"/>
      <c r="E14" s="1"/>
      <c r="F14" s="1"/>
      <c r="G14" s="1"/>
      <c r="H14" s="1"/>
    </row>
    <row r="15" spans="1:8" ht="13">
      <c r="A15" s="1"/>
      <c r="B15" s="1"/>
      <c r="C15" s="1"/>
      <c r="D15" s="1"/>
      <c r="E15" s="1"/>
      <c r="F15" s="1"/>
      <c r="G15" s="1"/>
      <c r="H15" s="1"/>
    </row>
    <row r="16" spans="1:8" ht="13">
      <c r="A16" s="1"/>
      <c r="B16" s="1"/>
      <c r="C16" s="1"/>
      <c r="D16" s="1"/>
      <c r="E16" s="1"/>
      <c r="F16" s="1"/>
      <c r="G16" s="1"/>
      <c r="H16" s="1"/>
    </row>
  </sheetData>
  <phoneticPr fontId="1" type="noConversion"/>
  <pageMargins left="0.75" right="0.75" top="1" bottom="1" header="0.5" footer="0.5"/>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2"/>
  <dimension ref="A1:E18"/>
  <sheetViews>
    <sheetView workbookViewId="0">
      <selection activeCell="B18" sqref="B18"/>
    </sheetView>
  </sheetViews>
  <sheetFormatPr defaultColWidth="8.7265625" defaultRowHeight="13"/>
  <cols>
    <col min="1" max="1" width="22.81640625" style="1" customWidth="1"/>
    <col min="2" max="2" width="10.54296875" style="1" customWidth="1"/>
    <col min="3" max="3" width="9.81640625" style="1" customWidth="1"/>
    <col min="4" max="4" width="9" style="1" customWidth="1"/>
    <col min="5" max="16384" width="8.7265625" style="1"/>
  </cols>
  <sheetData>
    <row r="1" spans="1:5">
      <c r="B1" s="1" t="s">
        <v>28</v>
      </c>
      <c r="C1" s="1" t="s">
        <v>29</v>
      </c>
    </row>
    <row r="2" spans="1:5">
      <c r="A2" s="12" t="s">
        <v>31</v>
      </c>
      <c r="B2" s="21">
        <v>9.1</v>
      </c>
      <c r="C2" s="21">
        <v>12.1</v>
      </c>
      <c r="E2" s="7"/>
    </row>
    <row r="3" spans="1:5">
      <c r="A3" s="13" t="s">
        <v>32</v>
      </c>
      <c r="B3" s="22">
        <v>16.5</v>
      </c>
      <c r="C3" s="22">
        <v>15.8</v>
      </c>
    </row>
    <row r="4" spans="1:5">
      <c r="A4" s="6"/>
    </row>
    <row r="5" spans="1:5">
      <c r="A5" s="1" t="s">
        <v>25</v>
      </c>
      <c r="B5" s="1">
        <v>-0.22</v>
      </c>
      <c r="D5" s="1" t="s">
        <v>12</v>
      </c>
      <c r="E5" s="17">
        <f>B5*B3*C3</f>
        <v>-57.353999999999999</v>
      </c>
    </row>
    <row r="6" spans="1:5">
      <c r="A6" s="3" t="s">
        <v>7</v>
      </c>
      <c r="B6" s="20">
        <v>11</v>
      </c>
    </row>
    <row r="8" spans="1:5">
      <c r="A8" s="8" t="s">
        <v>1</v>
      </c>
    </row>
    <row r="9" spans="1:5">
      <c r="A9" s="8"/>
    </row>
    <row r="10" spans="1:5">
      <c r="A10" s="2" t="s">
        <v>2</v>
      </c>
      <c r="B10" s="1" t="s">
        <v>28</v>
      </c>
      <c r="C10" s="1" t="s">
        <v>29</v>
      </c>
    </row>
    <row r="11" spans="1:5">
      <c r="A11" s="1" t="s">
        <v>5</v>
      </c>
      <c r="B11" s="16">
        <v>0.36666666666666686</v>
      </c>
      <c r="C11" s="16">
        <v>0.63333333333333319</v>
      </c>
    </row>
    <row r="13" spans="1:5">
      <c r="A13" s="2" t="s">
        <v>3</v>
      </c>
      <c r="B13" s="1" t="s">
        <v>24</v>
      </c>
      <c r="E13" s="1" t="s">
        <v>23</v>
      </c>
    </row>
    <row r="14" spans="1:5">
      <c r="A14" s="1" t="s">
        <v>30</v>
      </c>
      <c r="B14" s="10">
        <f>($B$3^2)*($B$11^2)+($C$3^2)*($C$11^2)+2*$B$11*$C$11*$E$5</f>
        <v>110.0981311111111</v>
      </c>
      <c r="E14" s="11">
        <f>($B$3^2)*($B$11^2)+($C$3^2)*($C$11^2)+2*$B$5*$B$3*$C$3*$B$11*$C$11</f>
        <v>110.0981311111111</v>
      </c>
    </row>
    <row r="16" spans="1:5">
      <c r="A16" s="2" t="s">
        <v>4</v>
      </c>
    </row>
    <row r="17" spans="1:4">
      <c r="A17" s="1" t="s">
        <v>26</v>
      </c>
      <c r="B17" s="17">
        <f>$B$2*$B$11+$C$2*$C$11</f>
        <v>11</v>
      </c>
      <c r="C17" s="1" t="s">
        <v>6</v>
      </c>
      <c r="D17" s="17">
        <f>B6</f>
        <v>11</v>
      </c>
    </row>
    <row r="18" spans="1:4">
      <c r="A18" s="1" t="s">
        <v>27</v>
      </c>
      <c r="B18" s="17">
        <f>$B$11+$C$11</f>
        <v>1</v>
      </c>
      <c r="C18" s="9" t="s">
        <v>8</v>
      </c>
      <c r="D18" s="17">
        <v>1</v>
      </c>
    </row>
  </sheetData>
  <phoneticPr fontId="1" type="noConversion"/>
  <pageMargins left="0.75" right="0.75" top="1" bottom="1" header="0.5" footer="0.5"/>
  <pageSetup orientation="portrait" horizontalDpi="1200" verticalDpi="1200"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3"/>
  <dimension ref="A1:H18"/>
  <sheetViews>
    <sheetView workbookViewId="0">
      <selection activeCell="I23" sqref="I23"/>
    </sheetView>
  </sheetViews>
  <sheetFormatPr defaultColWidth="8.7265625" defaultRowHeight="13"/>
  <cols>
    <col min="1" max="1" width="24.1796875" style="1" customWidth="1"/>
    <col min="2" max="4" width="8.7265625" style="1"/>
    <col min="5" max="5" width="6.81640625" style="1" customWidth="1"/>
    <col min="6" max="16384" width="8.7265625" style="1"/>
  </cols>
  <sheetData>
    <row r="1" spans="1:8">
      <c r="B1" s="1" t="s">
        <v>28</v>
      </c>
      <c r="C1" s="1" t="s">
        <v>29</v>
      </c>
      <c r="F1" s="1" t="s">
        <v>11</v>
      </c>
    </row>
    <row r="2" spans="1:8">
      <c r="A2" s="12" t="s">
        <v>31</v>
      </c>
      <c r="B2" s="21">
        <v>9.1</v>
      </c>
      <c r="C2" s="21">
        <v>12.1</v>
      </c>
      <c r="F2" s="1" t="s">
        <v>28</v>
      </c>
      <c r="G2" s="1">
        <v>1</v>
      </c>
      <c r="H2" s="1">
        <f>B5</f>
        <v>-0.22</v>
      </c>
    </row>
    <row r="3" spans="1:8">
      <c r="A3" s="13" t="s">
        <v>32</v>
      </c>
      <c r="B3" s="22">
        <v>16.5</v>
      </c>
      <c r="C3" s="22">
        <v>15.8</v>
      </c>
      <c r="F3" s="1" t="s">
        <v>29</v>
      </c>
      <c r="G3" s="1">
        <f>B5</f>
        <v>-0.22</v>
      </c>
      <c r="H3" s="1">
        <v>1</v>
      </c>
    </row>
    <row r="4" spans="1:8">
      <c r="A4" s="6"/>
    </row>
    <row r="5" spans="1:8">
      <c r="A5" s="1" t="s">
        <v>0</v>
      </c>
      <c r="B5" s="1">
        <v>-0.22</v>
      </c>
      <c r="F5" s="1" t="s">
        <v>13</v>
      </c>
    </row>
    <row r="6" spans="1:8">
      <c r="A6" s="3" t="s">
        <v>7</v>
      </c>
      <c r="B6" s="3">
        <v>11.700000000000001</v>
      </c>
      <c r="F6" s="1" t="s">
        <v>28</v>
      </c>
      <c r="G6" s="17">
        <f>B3^2</f>
        <v>272.25</v>
      </c>
      <c r="H6" s="1">
        <f>B5*B3*C3</f>
        <v>-57.353999999999999</v>
      </c>
    </row>
    <row r="7" spans="1:8">
      <c r="F7" s="1" t="s">
        <v>29</v>
      </c>
      <c r="G7" s="1">
        <f>B5*B3*C3</f>
        <v>-57.353999999999999</v>
      </c>
      <c r="H7" s="1">
        <f>C3^2</f>
        <v>249.64000000000001</v>
      </c>
    </row>
    <row r="8" spans="1:8">
      <c r="A8" s="8" t="s">
        <v>1</v>
      </c>
    </row>
    <row r="9" spans="1:8">
      <c r="A9" s="8"/>
    </row>
    <row r="10" spans="1:8">
      <c r="A10" s="2" t="s">
        <v>2</v>
      </c>
      <c r="B10" s="1" t="s">
        <v>28</v>
      </c>
      <c r="C10" s="1" t="s">
        <v>29</v>
      </c>
    </row>
    <row r="11" spans="1:8">
      <c r="A11" s="1" t="s">
        <v>5</v>
      </c>
      <c r="B11" s="16">
        <v>0.13333333333338004</v>
      </c>
      <c r="C11" s="16">
        <v>0.86666666666663172</v>
      </c>
    </row>
    <row r="12" spans="1:8">
      <c r="A12" s="1" t="s">
        <v>14</v>
      </c>
      <c r="B12" s="17">
        <f>B11*B3</f>
        <v>2.2000000000007707</v>
      </c>
      <c r="C12" s="17">
        <f>C11*C3</f>
        <v>13.693333333332783</v>
      </c>
    </row>
    <row r="13" spans="1:8">
      <c r="A13" s="2" t="s">
        <v>3</v>
      </c>
      <c r="B13" s="1" t="s">
        <v>24</v>
      </c>
      <c r="D13" s="1" t="s">
        <v>23</v>
      </c>
    </row>
    <row r="14" spans="1:8">
      <c r="A14" s="1" t="s">
        <v>30</v>
      </c>
      <c r="B14" s="10">
        <f t="array" ref="B14">MMULT(MMULT(B11:C11,G6:H7),TRANSPOSE(B11:C11))</f>
        <v>179.09223111109529</v>
      </c>
      <c r="D14" s="11">
        <f t="array" ref="D14">MMULT(MMULT(B12:C12,G2:H3),TRANSPOSE(B12:C12))</f>
        <v>179.09223111109532</v>
      </c>
    </row>
    <row r="16" spans="1:8">
      <c r="A16" s="2" t="s">
        <v>4</v>
      </c>
    </row>
    <row r="17" spans="1:4">
      <c r="A17" s="1" t="s">
        <v>26</v>
      </c>
      <c r="B17" s="17">
        <f>SUMPRODUCT($B$2:$C$2,$B$11:$C$11)</f>
        <v>11.700000000000003</v>
      </c>
      <c r="C17" s="1" t="s">
        <v>6</v>
      </c>
      <c r="D17" s="17">
        <f>B6</f>
        <v>11.700000000000001</v>
      </c>
    </row>
    <row r="18" spans="1:4">
      <c r="A18" s="1" t="s">
        <v>27</v>
      </c>
      <c r="B18" s="17">
        <f>$B$11+$C$11</f>
        <v>1.0000000000000118</v>
      </c>
      <c r="C18" s="9" t="s">
        <v>8</v>
      </c>
      <c r="D18" s="17">
        <v>1</v>
      </c>
    </row>
  </sheetData>
  <phoneticPr fontId="1" type="noConversion"/>
  <pageMargins left="0.75" right="0.75" top="1" bottom="1" header="0.5" footer="0.5"/>
  <headerFooter alignWithMargins="0"/>
  <legacyDrawing r:id="rId1"/>
</worksheet>
</file>

<file path=xl/worksheets/sheet4.xml><?xml version="1.0" encoding="utf-8"?>
<worksheet xmlns="http://schemas.openxmlformats.org/spreadsheetml/2006/main" xmlns:r="http://schemas.openxmlformats.org/officeDocument/2006/relationships">
  <sheetPr codeName="Sheet4"/>
  <dimension ref="A1:N11"/>
  <sheetViews>
    <sheetView workbookViewId="0">
      <selection activeCell="B19" sqref="B19"/>
    </sheetView>
  </sheetViews>
  <sheetFormatPr defaultColWidth="8.7265625" defaultRowHeight="13"/>
  <cols>
    <col min="1" max="2" width="13.7265625" style="1" bestFit="1" customWidth="1"/>
    <col min="3" max="12" width="8.7265625" style="1"/>
    <col min="13" max="13" width="14.54296875" style="1" customWidth="1"/>
    <col min="14" max="16384" width="8.7265625" style="1"/>
  </cols>
  <sheetData>
    <row r="1" spans="1:14">
      <c r="A1" s="1" t="s">
        <v>9</v>
      </c>
      <c r="B1" s="1" t="s">
        <v>10</v>
      </c>
    </row>
    <row r="4" spans="1:14">
      <c r="M4" s="3" t="s">
        <v>33</v>
      </c>
      <c r="N4" s="1">
        <v>10.8</v>
      </c>
    </row>
    <row r="5" spans="1:14">
      <c r="M5" s="3" t="s">
        <v>34</v>
      </c>
      <c r="N5" s="1">
        <v>0.1</v>
      </c>
    </row>
    <row r="6" spans="1:14">
      <c r="M6" s="3" t="s">
        <v>35</v>
      </c>
      <c r="N6" s="1">
        <v>10</v>
      </c>
    </row>
    <row r="7" spans="1:14">
      <c r="M7" s="17"/>
    </row>
    <row r="11" spans="1:14">
      <c r="C11" s="1">
        <v>0</v>
      </c>
    </row>
  </sheetData>
  <phoneticPr fontId="1" type="noConversion"/>
  <pageMargins left="0.75" right="0.75" top="1" bottom="1" header="0.5" footer="0.5"/>
  <headerFooter alignWithMargins="0"/>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Diversification</vt:lpstr>
      <vt:lpstr>Optimization</vt:lpstr>
      <vt:lpstr>Optimization (Mx)</vt:lpstr>
      <vt:lpstr>Efficient Frontier</vt:lpstr>
      <vt:lpstr>increment</vt:lpstr>
      <vt:lpstr>iterations</vt:lpstr>
      <vt:lpstr>min_return</vt:lpstr>
      <vt:lpstr>minReturn</vt:lpstr>
    </vt:vector>
  </TitlesOfParts>
  <Company>BABSON COLLEGE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Dessislava Pachamanova</dc:creator>
  <dc:description>Copyright © 2010 John Wiley &amp; Sons, Inc., Dessislava A. Pachamanova, and Frank J. Fabozzi.
All rights reserved.
Model files and code may be copied and used only by owners of the book Simulation and Optimization in Finance: Modeling with MATLAB, @RISK or VBA, by Dessislava A. Pachamanova and Frank J. Fabozzi, Hoboken, NJ: John Wiley &amp; Sons, 2010 and only for their own personal use.  Copying and/or use for any other purpose or by any other person is prohibited. Requests for permission for other uses should be addressed to the Permissions Department, John Wiley &amp; Sons, Inc., 111 River Street, Hoboken, NJ 07030, (201) 748-6011, fax (201) 748-6008, or online at http://www.wiley.com/go/permissions.
While the authors and publisher have used all reasonable efforts in creating the work, the model files and the code, they make no representations or warranties with respect to the accuracy or completeness of the contents thereof, and specifically disclaim any implied warranties of merchantability or fitness for a particular purpose.  No warranty may be created or extended by sales representatives or written sales materials.  The advice and strategies contained herein may not be suitable for a particular party’s situation.  Users should consult with a professional where appropriate.  
LIMITATION OF LIABILITY
IN NO EVENT SHALL THE AUTHOR OR THE PUBLISHER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THE WORK, THE MODEL FILES OR THE CODE, EVEN IF ADVISED OF THE POSSIBILITY OF SUCH DAMAGE.</dc:description>
  <cp:lastModifiedBy>Dessislava Pachamanova</cp:lastModifiedBy>
  <dcterms:created xsi:type="dcterms:W3CDTF">2004-02-25T19:57:44Z</dcterms:created>
  <dcterms:modified xsi:type="dcterms:W3CDTF">2010-03-08T02:53:00Z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LE ID">
    <vt:lpwstr>060575</vt:lpwstr>
  </property>
</Properties>
</file>